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Proyectos\Proyecto-Planificación\"/>
    </mc:Choice>
  </mc:AlternateContent>
  <xr:revisionPtr revIDLastSave="0" documentId="13_ncr:1_{9C18B1F3-EF42-4905-AE41-43D074B2A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M4" i="1"/>
  <c r="L5" i="1"/>
  <c r="L4" i="1"/>
  <c r="L6" i="1"/>
  <c r="K6" i="1"/>
  <c r="M6" i="1"/>
  <c r="K5" i="1"/>
  <c r="B12" i="1"/>
  <c r="C12" i="1"/>
  <c r="K4" i="1" s="1"/>
</calcChain>
</file>

<file path=xl/sharedStrings.xml><?xml version="1.0" encoding="utf-8"?>
<sst xmlns="http://schemas.openxmlformats.org/spreadsheetml/2006/main" count="58" uniqueCount="53">
  <si>
    <t>Cargo</t>
  </si>
  <si>
    <t>Sueldo mensual estimado</t>
  </si>
  <si>
    <t>Costo anual</t>
  </si>
  <si>
    <t>Jefe de Proyecto</t>
  </si>
  <si>
    <t>Arquitecto de Software</t>
  </si>
  <si>
    <t>DevOps</t>
  </si>
  <si>
    <t>Desarrollador Full Stack 1</t>
  </si>
  <si>
    <t>Desarrollador Full Stack 2</t>
  </si>
  <si>
    <t>Desarrollador Backend</t>
  </si>
  <si>
    <t>Analista Junior 1</t>
  </si>
  <si>
    <t>Analista Junior 2</t>
  </si>
  <si>
    <t>Planilla de Costos</t>
  </si>
  <si>
    <t>Costos Directos</t>
  </si>
  <si>
    <t>Total</t>
  </si>
  <si>
    <t>Costos Indirectos</t>
  </si>
  <si>
    <t>Rubro</t>
  </si>
  <si>
    <t>Costo Anual</t>
  </si>
  <si>
    <t>Costo Mensual</t>
  </si>
  <si>
    <t>Observaciones</t>
  </si>
  <si>
    <t>1. Oficina</t>
  </si>
  <si>
    <t>Alquiler</t>
  </si>
  <si>
    <t>Oficina pequeña para 8 personas</t>
  </si>
  <si>
    <t>Expensas</t>
  </si>
  <si>
    <t>Servicios (agua, luz, gas, limpieza)</t>
  </si>
  <si>
    <t>Promedio anualizado</t>
  </si>
  <si>
    <t>Internet corporativo</t>
  </si>
  <si>
    <t>Fibra óptica + respaldo</t>
  </si>
  <si>
    <t>Teléfonos y comunicaciones</t>
  </si>
  <si>
    <t>Impuestos y tasas</t>
  </si>
  <si>
    <t>Incluye inmobiliario y tasas municipales</t>
  </si>
  <si>
    <t>Subtotal Oficina</t>
  </si>
  <si>
    <t>2. Equipamiento y Amortización</t>
  </si>
  <si>
    <t>PC y monitores (8 puestos × $500.000) amort. 3 años</t>
  </si>
  <si>
    <t>Servidores y dispositivos (3 años)</t>
  </si>
  <si>
    <t>Muebles y sillas (10 años)</t>
  </si>
  <si>
    <t>Software licencias (GitHub, JetBrains, etc.)</t>
  </si>
  <si>
    <t>Subtotal Equipamiento</t>
  </si>
  <si>
    <t>3. Transporte y movilidad</t>
  </si>
  <si>
    <t>Transporte urbano y viajes</t>
  </si>
  <si>
    <t>4. Gastos profesionales y seguros</t>
  </si>
  <si>
    <t>Seguro de responsabilidad civil</t>
  </si>
  <si>
    <t>Aportes contables, matrícula, etc.</t>
  </si>
  <si>
    <t>Capacitación, cursos, conferencias</t>
  </si>
  <si>
    <t>Subtotal profesional</t>
  </si>
  <si>
    <t>TOTAL COSTOS INDIRECTOS</t>
  </si>
  <si>
    <t>Suma</t>
  </si>
  <si>
    <t>Promedio</t>
  </si>
  <si>
    <t>Recuento</t>
  </si>
  <si>
    <t>Total General</t>
  </si>
  <si>
    <t>Categoría</t>
  </si>
  <si>
    <t>Costo Diario</t>
  </si>
  <si>
    <t xml:space="preserve">Costos Directos </t>
  </si>
  <si>
    <t>$4.000.000 / 3 = $1.333.000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</si>
</sst>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4" fontId="0" fillId="0" borderId="0" xfId="1" applyFont="1" applyAlignment="1">
      <alignment vertical="center" wrapText="1"/>
    </xf>
    <xf numFmtId="44" fontId="2" fillId="0" borderId="0" xfId="1" applyFont="1" applyAlignment="1">
      <alignment vertical="center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4">
    <dxf>
      <numFmt numFmtId="10" formatCode="&quot;$&quot;\ #,##0;[Red]\-&quot;$&quot;\ #,##0"/>
    </dxf>
    <dxf>
      <numFmt numFmtId="10" formatCode="&quot;$&quot;\ #,##0;[Red]\-&quot;$&quot;\ #,##0"/>
    </dxf>
    <dxf>
      <numFmt numFmtId="34" formatCode="_-&quot;$&quot;\ * #,##0.00_-;\-&quot;$&quot;\ * #,##0.00_-;_-&quot;$&quot;\ * &quot;-&quot;??_-;_-@_-"/>
    </dxf>
    <dxf>
      <numFmt numFmtId="10" formatCode="&quot;$&quot;\ #,##0;[Red]\-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1E365-1779-49F3-988F-0C1A1B74ED5A}" name="Tabla2" displayName="Tabla2" ref="A3:C12" totalsRowCount="1">
  <autoFilter ref="A3:C11" xr:uid="{9921E365-1779-49F3-988F-0C1A1B74ED5A}"/>
  <tableColumns count="3">
    <tableColumn id="1" xr3:uid="{E0B7086F-9582-4816-8A7B-5C3EE6B73E1E}" name="Cargo" totalsRowLabel="Total"/>
    <tableColumn id="2" xr3:uid="{A060AC3F-62E9-4513-B452-50C9BBB1D4DD}" name="Sueldo mensual estimado" totalsRowFunction="sum" dataCellStyle="Moneda"/>
    <tableColumn id="3" xr3:uid="{3F0975E5-1F1B-41DF-BBC5-468713C534CB}" name="Costo anual" totalsRowFunction="sum" totalsRowDxfId="3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80A28F-736B-4D40-963E-483E962A0AB3}" name="Tabla4" displayName="Tabla4" ref="E3:H25" totalsRowShown="0">
  <autoFilter ref="E3:H25" xr:uid="{A480A28F-736B-4D40-963E-483E962A0AB3}"/>
  <tableColumns count="4">
    <tableColumn id="1" xr3:uid="{2AB3CA11-8FFB-4123-AB2C-B837C2941899}" name="Rubro"/>
    <tableColumn id="2" xr3:uid="{37259DDC-D838-4CEC-81C6-F21D112B9A4A}" name="Costo Anual"/>
    <tableColumn id="3" xr3:uid="{73F4E9CA-67A7-469B-BAEA-8F11127F0B0B}" name="Costo Mensual"/>
    <tableColumn id="4" xr3:uid="{35882B0D-00C7-49B3-8355-D55436B9EE82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AC4494-505C-40F7-A1DE-22A05C761F4B}" name="Tabla5" displayName="Tabla5" ref="J3:M6" totalsRowCount="1">
  <autoFilter ref="J3:M5" xr:uid="{18AC4494-505C-40F7-A1DE-22A05C761F4B}"/>
  <tableColumns count="4">
    <tableColumn id="1" xr3:uid="{F6F793DE-C0E9-4189-9846-3CF38A717498}" name="Categoría" totalsRowLabel="Total General"/>
    <tableColumn id="2" xr3:uid="{699CF784-836B-4DB6-B0FA-EFA2D8C61ED7}" name="Costo Anual" totalsRowFunction="sum" totalsRowDxfId="2" dataCellStyle="Moneda"/>
    <tableColumn id="3" xr3:uid="{5AFEE64B-5318-4E1C-9051-A1A0E9915795}" name="Costo Mensual" totalsRowFunction="sum" totalsRowDxfId="1" dataCellStyle="Moneda"/>
    <tableColumn id="4" xr3:uid="{14C6D123-7FDA-4BAE-B6B0-088BE90A4227}" name="Costo Diario" totalsRowFunction="sum" totalsRow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1" max="1" width="16.7109375" bestFit="1" customWidth="1"/>
    <col min="2" max="2" width="14.5703125" bestFit="1" customWidth="1"/>
    <col min="3" max="3" width="16.7109375" bestFit="1" customWidth="1"/>
    <col min="5" max="5" width="16.28515625" bestFit="1" customWidth="1"/>
    <col min="6" max="6" width="16.140625" bestFit="1" customWidth="1"/>
    <col min="7" max="7" width="13.28515625" bestFit="1" customWidth="1"/>
    <col min="8" max="8" width="13.7109375" bestFit="1" customWidth="1"/>
    <col min="10" max="10" width="14" bestFit="1" customWidth="1"/>
    <col min="11" max="11" width="16.85546875" bestFit="1" customWidth="1"/>
    <col min="12" max="12" width="14.5703125" bestFit="1" customWidth="1"/>
    <col min="13" max="13" width="13" bestFit="1" customWidth="1"/>
  </cols>
  <sheetData>
    <row r="1" spans="1:13" x14ac:dyDescent="0.25">
      <c r="A1" t="s">
        <v>11</v>
      </c>
    </row>
    <row r="2" spans="1:13" x14ac:dyDescent="0.25">
      <c r="A2" t="s">
        <v>12</v>
      </c>
      <c r="E2" t="s">
        <v>14</v>
      </c>
      <c r="J2" t="s">
        <v>48</v>
      </c>
    </row>
    <row r="3" spans="1:13" ht="45" x14ac:dyDescent="0.25">
      <c r="A3" s="1" t="s">
        <v>0</v>
      </c>
      <c r="B3" s="1" t="s">
        <v>1</v>
      </c>
      <c r="C3" s="1" t="s">
        <v>2</v>
      </c>
      <c r="E3" s="1" t="s">
        <v>15</v>
      </c>
      <c r="F3" s="1" t="s">
        <v>16</v>
      </c>
      <c r="G3" s="1" t="s">
        <v>17</v>
      </c>
      <c r="H3" s="1" t="s">
        <v>18</v>
      </c>
      <c r="J3" s="1" t="s">
        <v>49</v>
      </c>
      <c r="K3" s="1" t="s">
        <v>16</v>
      </c>
      <c r="L3" s="1" t="s">
        <v>17</v>
      </c>
      <c r="M3" s="1" t="s">
        <v>50</v>
      </c>
    </row>
    <row r="4" spans="1:13" ht="30" x14ac:dyDescent="0.25">
      <c r="A4" s="2" t="s">
        <v>3</v>
      </c>
      <c r="B4" s="4">
        <v>1600000</v>
      </c>
      <c r="C4" s="4">
        <v>19200000</v>
      </c>
      <c r="E4" s="3" t="s">
        <v>19</v>
      </c>
      <c r="F4" s="2"/>
      <c r="G4" s="2"/>
      <c r="H4" s="2"/>
      <c r="J4" s="2" t="s">
        <v>51</v>
      </c>
      <c r="K4" s="4">
        <f>Tabla2[[#Totals],[Costo anual]]</f>
        <v>108000000</v>
      </c>
      <c r="L4" s="4">
        <f>Tabla5[[#This Row],[Costo Anual]]/12</f>
        <v>9000000</v>
      </c>
      <c r="M4" s="4">
        <f>Tabla5[[#This Row],[Costo Mensual]]/30</f>
        <v>300000</v>
      </c>
    </row>
    <row r="5" spans="1:13" ht="45" x14ac:dyDescent="0.25">
      <c r="A5" s="2" t="s">
        <v>4</v>
      </c>
      <c r="B5" s="4">
        <v>1400000</v>
      </c>
      <c r="C5" s="4">
        <v>16800000</v>
      </c>
      <c r="E5" s="2" t="s">
        <v>20</v>
      </c>
      <c r="F5" s="4">
        <v>2400000</v>
      </c>
      <c r="G5" s="4">
        <v>200000</v>
      </c>
      <c r="H5" s="2" t="s">
        <v>21</v>
      </c>
      <c r="J5" s="2" t="s">
        <v>14</v>
      </c>
      <c r="K5" s="4">
        <f>F25</f>
        <v>9093000</v>
      </c>
      <c r="L5" s="4">
        <f>Tabla5[[#This Row],[Costo Anual]]/12</f>
        <v>757750</v>
      </c>
      <c r="M5" s="4">
        <f>Tabla5[[#This Row],[Costo Mensual]]/30</f>
        <v>25258.333333333332</v>
      </c>
    </row>
    <row r="6" spans="1:13" x14ac:dyDescent="0.25">
      <c r="A6" s="2" t="s">
        <v>5</v>
      </c>
      <c r="B6" s="4">
        <v>1200000</v>
      </c>
      <c r="C6" s="4">
        <v>14400000</v>
      </c>
      <c r="E6" s="2" t="s">
        <v>22</v>
      </c>
      <c r="F6" s="4">
        <v>600000</v>
      </c>
      <c r="G6" s="4">
        <v>50000</v>
      </c>
      <c r="H6" s="2"/>
      <c r="J6" t="s">
        <v>48</v>
      </c>
      <c r="K6" s="6">
        <f>SUBTOTAL(109,Tabla5[Costo Anual])</f>
        <v>117093000</v>
      </c>
      <c r="L6" s="6">
        <f>SUBTOTAL(109,Tabla5[Costo Mensual])</f>
        <v>9757750</v>
      </c>
      <c r="M6" s="6">
        <f>SUBTOTAL(109,Tabla5[Costo Diario])</f>
        <v>325258.33333333331</v>
      </c>
    </row>
    <row r="7" spans="1:13" ht="45" x14ac:dyDescent="0.25">
      <c r="A7" s="2" t="s">
        <v>6</v>
      </c>
      <c r="B7" s="4">
        <v>1100000</v>
      </c>
      <c r="C7" s="4">
        <v>13200000</v>
      </c>
      <c r="E7" s="2" t="s">
        <v>23</v>
      </c>
      <c r="F7" s="4">
        <v>600000</v>
      </c>
      <c r="G7" s="4">
        <v>50000</v>
      </c>
      <c r="H7" s="2" t="s">
        <v>24</v>
      </c>
    </row>
    <row r="8" spans="1:13" ht="30" x14ac:dyDescent="0.25">
      <c r="A8" s="2" t="s">
        <v>7</v>
      </c>
      <c r="B8" s="4">
        <v>1100000</v>
      </c>
      <c r="C8" s="4">
        <v>13200000</v>
      </c>
      <c r="E8" s="2" t="s">
        <v>25</v>
      </c>
      <c r="F8" s="4">
        <v>360000</v>
      </c>
      <c r="G8" s="4">
        <v>30000</v>
      </c>
      <c r="H8" s="2" t="s">
        <v>26</v>
      </c>
    </row>
    <row r="9" spans="1:13" ht="30" x14ac:dyDescent="0.25">
      <c r="A9" s="2" t="s">
        <v>8</v>
      </c>
      <c r="B9" s="4">
        <v>1000000</v>
      </c>
      <c r="C9" s="4">
        <v>12000000</v>
      </c>
      <c r="E9" s="2" t="s">
        <v>27</v>
      </c>
      <c r="F9" s="4">
        <v>240000</v>
      </c>
      <c r="G9" s="4">
        <v>20000</v>
      </c>
      <c r="H9" s="2"/>
    </row>
    <row r="10" spans="1:13" ht="60" x14ac:dyDescent="0.25">
      <c r="A10" s="2" t="s">
        <v>9</v>
      </c>
      <c r="B10" s="4">
        <v>800000</v>
      </c>
      <c r="C10" s="4">
        <v>9600000</v>
      </c>
      <c r="E10" s="2" t="s">
        <v>28</v>
      </c>
      <c r="F10" s="4">
        <v>180000</v>
      </c>
      <c r="G10" s="4">
        <v>15000</v>
      </c>
      <c r="H10" s="2" t="s">
        <v>29</v>
      </c>
    </row>
    <row r="11" spans="1:13" x14ac:dyDescent="0.25">
      <c r="A11" s="2" t="s">
        <v>10</v>
      </c>
      <c r="B11" s="4">
        <v>800000</v>
      </c>
      <c r="C11" s="4">
        <v>9600000</v>
      </c>
      <c r="E11" s="3" t="s">
        <v>30</v>
      </c>
      <c r="F11" s="5">
        <v>4380000</v>
      </c>
      <c r="G11" s="5">
        <v>365000</v>
      </c>
      <c r="H11" s="2"/>
    </row>
    <row r="12" spans="1:13" ht="30" x14ac:dyDescent="0.25">
      <c r="A12" t="s">
        <v>13</v>
      </c>
      <c r="B12" s="6">
        <f>SUBTOTAL(109,Tabla2[Sueldo mensual estimado])</f>
        <v>9000000</v>
      </c>
      <c r="C12" s="6">
        <f>SUBTOTAL(109,Tabla2[Costo anual])</f>
        <v>108000000</v>
      </c>
      <c r="E12" s="3" t="s">
        <v>31</v>
      </c>
      <c r="F12" s="2"/>
      <c r="G12" s="2"/>
      <c r="H12" s="2"/>
    </row>
    <row r="13" spans="1:13" ht="60" x14ac:dyDescent="0.25">
      <c r="E13" s="2" t="s">
        <v>32</v>
      </c>
      <c r="F13" s="4">
        <v>1333000</v>
      </c>
      <c r="G13" s="4">
        <v>111000</v>
      </c>
      <c r="H13" s="2" t="s">
        <v>52</v>
      </c>
    </row>
    <row r="14" spans="1:13" ht="45" x14ac:dyDescent="0.25">
      <c r="E14" s="2" t="s">
        <v>33</v>
      </c>
      <c r="F14" s="4">
        <v>400000</v>
      </c>
      <c r="G14" s="4">
        <v>33000</v>
      </c>
      <c r="H14" s="2"/>
    </row>
    <row r="15" spans="1:13" ht="30" x14ac:dyDescent="0.25">
      <c r="E15" s="2" t="s">
        <v>34</v>
      </c>
      <c r="F15" s="4">
        <v>180000</v>
      </c>
      <c r="G15" s="4">
        <v>15000</v>
      </c>
      <c r="H15" s="2"/>
    </row>
    <row r="16" spans="1:13" ht="60" x14ac:dyDescent="0.25">
      <c r="E16" s="2" t="s">
        <v>35</v>
      </c>
      <c r="F16" s="4">
        <v>960000</v>
      </c>
      <c r="G16" s="4">
        <v>80000</v>
      </c>
      <c r="H16" s="2"/>
    </row>
    <row r="17" spans="5:8" ht="30" x14ac:dyDescent="0.25">
      <c r="E17" s="3" t="s">
        <v>36</v>
      </c>
      <c r="F17" s="5">
        <v>2873000</v>
      </c>
      <c r="G17" s="5">
        <v>239000</v>
      </c>
      <c r="H17" s="2"/>
    </row>
    <row r="18" spans="5:8" ht="30" x14ac:dyDescent="0.25">
      <c r="E18" s="3" t="s">
        <v>37</v>
      </c>
      <c r="F18" s="2"/>
      <c r="G18" s="2"/>
      <c r="H18" s="2"/>
    </row>
    <row r="19" spans="5:8" ht="30" x14ac:dyDescent="0.25">
      <c r="E19" s="2" t="s">
        <v>38</v>
      </c>
      <c r="F19" s="4">
        <v>1000000</v>
      </c>
      <c r="G19" s="4">
        <v>83000</v>
      </c>
      <c r="H19" s="2"/>
    </row>
    <row r="20" spans="5:8" ht="45" x14ac:dyDescent="0.25">
      <c r="E20" s="3" t="s">
        <v>39</v>
      </c>
      <c r="F20" s="2"/>
      <c r="G20" s="2"/>
      <c r="H20" s="2"/>
    </row>
    <row r="21" spans="5:8" ht="45" x14ac:dyDescent="0.25">
      <c r="E21" s="2" t="s">
        <v>40</v>
      </c>
      <c r="F21" s="4">
        <v>240000</v>
      </c>
      <c r="G21" s="4">
        <v>20000</v>
      </c>
      <c r="H21" s="2"/>
    </row>
    <row r="22" spans="5:8" ht="45" x14ac:dyDescent="0.25">
      <c r="E22" s="2" t="s">
        <v>41</v>
      </c>
      <c r="F22" s="4">
        <v>120000</v>
      </c>
      <c r="G22" s="4">
        <v>10000</v>
      </c>
      <c r="H22" s="2"/>
    </row>
    <row r="23" spans="5:8" ht="45" x14ac:dyDescent="0.25">
      <c r="E23" s="2" t="s">
        <v>42</v>
      </c>
      <c r="F23" s="4">
        <v>480000</v>
      </c>
      <c r="G23" s="4">
        <v>40000</v>
      </c>
      <c r="H23" s="2"/>
    </row>
    <row r="24" spans="5:8" ht="30" x14ac:dyDescent="0.25">
      <c r="E24" s="3" t="s">
        <v>43</v>
      </c>
      <c r="F24" s="5">
        <v>840000</v>
      </c>
      <c r="G24" s="5">
        <v>70000</v>
      </c>
      <c r="H24" s="2"/>
    </row>
    <row r="25" spans="5:8" ht="30" x14ac:dyDescent="0.25">
      <c r="E25" s="3" t="s">
        <v>44</v>
      </c>
      <c r="F25" s="5">
        <v>9093000</v>
      </c>
      <c r="G25" s="5">
        <v>757000</v>
      </c>
      <c r="H25" s="2"/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Faccini</dc:creator>
  <cp:lastModifiedBy>Lautaro Faccini</cp:lastModifiedBy>
  <dcterms:created xsi:type="dcterms:W3CDTF">2015-06-05T18:19:34Z</dcterms:created>
  <dcterms:modified xsi:type="dcterms:W3CDTF">2025-11-05T14:05:28Z</dcterms:modified>
</cp:coreProperties>
</file>