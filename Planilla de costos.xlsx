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<sst xmlns="http://schemas.openxmlformats.org/spreadsheetml/2006/main" count="105" uniqueCount="101">
  <si>
    <t xml:space="preserve">Planilla de Costos</t>
  </si>
  <si>
    <t xml:space="preserve">Costos Directos</t>
  </si>
  <si>
    <t xml:space="preserve">Costos Indirectos</t>
  </si>
  <si>
    <t xml:space="preserve">Total General</t>
  </si>
  <si>
    <t xml:space="preserve">Notas</t>
  </si>
  <si>
    <t xml:space="preserve">Cargo</t>
  </si>
  <si>
    <t xml:space="preserve">Sueldo mensual estimado</t>
  </si>
  <si>
    <t xml:space="preserve">Costo anual</t>
  </si>
  <si>
    <t xml:space="preserve">Rubro</t>
  </si>
  <si>
    <t xml:space="preserve">Costo Anual</t>
  </si>
  <si>
    <t xml:space="preserve">Costo Mensual</t>
  </si>
  <si>
    <t xml:space="preserve">Observaciones</t>
  </si>
  <si>
    <t xml:space="preserve">Categoría</t>
  </si>
  <si>
    <t xml:space="preserve">Costo Diario</t>
  </si>
  <si>
    <t xml:space="preserve">Monotributo?? </t>
  </si>
  <si>
    <t xml:space="preserve">Si el empleado es socio, se factura el monotributo</t>
  </si>
  <si>
    <t xml:space="preserve">Jefe de Proyecto</t>
  </si>
  <si>
    <t xml:space="preserve">1. Oficina</t>
  </si>
  <si>
    <t xml:space="preserve">Costos Directos </t>
  </si>
  <si>
    <t xml:space="preserve">Si es empleado, aporte jubilatorio , obra social</t>
  </si>
  <si>
    <t xml:space="preserve">Se saca un poco del empleador y del empleado</t>
  </si>
  <si>
    <t xml:space="preserve">Arquitecto de Software</t>
  </si>
  <si>
    <t xml:space="preserve">Alquiler</t>
  </si>
  <si>
    <t xml:space="preserve">Oficina pequeña para 8 personas</t>
  </si>
  <si>
    <t xml:space="preserve">Para socio (jefe)</t>
  </si>
  <si>
    <t xml:space="preserve">DevOps</t>
  </si>
  <si>
    <t xml:space="preserve">Expensas</t>
  </si>
  <si>
    <t xml:space="preserve">El jefe de proyecto va a ser dueño (tiene costo por uso: cada vez q lo asigno se cobra)</t>
  </si>
  <si>
    <t xml:space="preserve">Desarrollador Full Stack 1</t>
  </si>
  <si>
    <t xml:space="preserve">Servicios (agua, luz, gas, limpieza)</t>
  </si>
  <si>
    <t xml:space="preserve">Promedio anualizado</t>
  </si>
  <si>
    <t xml:space="preserve">1 monotributo en la tabla de costo por el jefe</t>
  </si>
  <si>
    <t xml:space="preserve">Desarrollador Full Stack 2</t>
  </si>
  <si>
    <t xml:space="preserve">Internet corporativo</t>
  </si>
  <si>
    <t xml:space="preserve">Fibra óptica + respaldo</t>
  </si>
  <si>
    <t xml:space="preserve">Para empleado</t>
  </si>
  <si>
    <t xml:space="preserve">Desarrollador Backend</t>
  </si>
  <si>
    <t xml:space="preserve">Teléfonos y comunicaciones</t>
  </si>
  <si>
    <t xml:space="preserve">Vamos a asumir que en tasa estandar esta contado el aporte/obra social</t>
  </si>
  <si>
    <t xml:space="preserve">Analista Junior 1</t>
  </si>
  <si>
    <t xml:space="preserve">Impuestos y tasas</t>
  </si>
  <si>
    <t xml:space="preserve">Incluye inmobiliario y tasas municipales</t>
  </si>
  <si>
    <t xml:space="preserve">N Seguros de vida (costo fijo por cada recurso)</t>
  </si>
  <si>
    <t xml:space="preserve">Analista Junior 2</t>
  </si>
  <si>
    <t xml:space="preserve">Subtotal Oficina</t>
  </si>
  <si>
    <t xml:space="preserve">1 Seguro contra robo /incendio </t>
  </si>
  <si>
    <t xml:space="preserve">Total</t>
  </si>
  <si>
    <t xml:space="preserve">2. Equipamiento y Amortización</t>
  </si>
  <si>
    <t xml:space="preserve">Tasa estandar por cada empleado</t>
  </si>
  <si>
    <t xml:space="preserve">PC y monitores (8 puestos × $500.000) amort. 3 años</t>
  </si>
  <si>
    <t xml:space="preserve">$4.000.000 / 3 = $1.333.000</t>
  </si>
  <si>
    <t xml:space="preserve">Servidores y dispositivos (3 años)</t>
  </si>
  <si>
    <t xml:space="preserve">Amortizacion</t>
  </si>
  <si>
    <t xml:space="preserve">O alquilo o amortizo </t>
  </si>
  <si>
    <t xml:space="preserve">el resultado es anual</t>
  </si>
  <si>
    <t xml:space="preserve">Eso /12 da mensual</t>
  </si>
  <si>
    <t xml:space="preserve">Muebles y sillas (10 años)</t>
  </si>
  <si>
    <t xml:space="preserve">Software licencias (GitHub, JetBrains, etc.)</t>
  </si>
  <si>
    <t xml:space="preserve">Utiles</t>
  </si>
  <si>
    <t xml:space="preserve">Poner unos pesos para los utiles</t>
  </si>
  <si>
    <t xml:space="preserve">Subtotal Equipamiento</t>
  </si>
  <si>
    <t xml:space="preserve">tinta, cartuchos, toner, papel, fibrones</t>
  </si>
  <si>
    <t xml:space="preserve">3. Transporte y movilidad</t>
  </si>
  <si>
    <t xml:space="preserve">Transporte urbano y viajes</t>
  </si>
  <si>
    <t xml:space="preserve">Cuando es propio de la empresa es amortización</t>
  </si>
  <si>
    <t xml:space="preserve">4. Gastos profesionales y seguros</t>
  </si>
  <si>
    <t xml:space="preserve">No hay matricula para informaticos</t>
  </si>
  <si>
    <t xml:space="preserve">Seguro de vida</t>
  </si>
  <si>
    <t xml:space="preserve">Total para los 8 empleados</t>
  </si>
  <si>
    <t xml:space="preserve">Suscripcion tecnica no va</t>
  </si>
  <si>
    <t xml:space="preserve">Tasa estándar</t>
  </si>
  <si>
    <t xml:space="preserve">Aporte jubilatorio / obra social total para los 8 empleados</t>
  </si>
  <si>
    <t xml:space="preserve">Seguro contra robos/incendios</t>
  </si>
  <si>
    <t xml:space="preserve">el costo fijo mensual lo divido entre 30 y obtengo el costo fijo diario</t>
  </si>
  <si>
    <t xml:space="preserve">Monotributo</t>
  </si>
  <si>
    <t xml:space="preserve">Para el jefe del proyecto</t>
  </si>
  <si>
    <t xml:space="preserve">ese costo lo multiplico por la duracion total del proyecto</t>
  </si>
  <si>
    <t xml:space="preserve">Aportes contables, matrícula, etc.</t>
  </si>
  <si>
    <t xml:space="preserve">eso nos da el costo fijo del proyecto</t>
  </si>
  <si>
    <t xml:space="preserve">Capacitación, cursos, conferencias</t>
  </si>
  <si>
    <t xml:space="preserve">ponemos ese valor en la tabla de costos del proyect, </t>
  </si>
  <si>
    <t xml:space="preserve">Subtotal profesional</t>
  </si>
  <si>
    <t xml:space="preserve">en la primer tarea resumen (Nombre del proyecto), en la celda Costos fijos</t>
  </si>
  <si>
    <t xml:space="preserve">TOTAL COSTOS INDIRECTOS</t>
  </si>
  <si>
    <t xml:space="preserve">Como hace para calcular el costo variable? Tiene en cuenta el costo de cada recurso humano o material y la duracion de la tarea</t>
  </si>
  <si>
    <t xml:space="preserve">Tabla de costos del project</t>
  </si>
  <si>
    <t xml:space="preserve">Ejecucion…</t>
  </si>
  <si>
    <t xml:space="preserve">Nombre tarea</t>
  </si>
  <si>
    <t xml:space="preserve">Costo Fijo</t>
  </si>
  <si>
    <t xml:space="preserve">Costo Total</t>
  </si>
  <si>
    <t xml:space="preserve">Costo Previsto</t>
  </si>
  <si>
    <t xml:space="preserve">Variacion</t>
  </si>
  <si>
    <t xml:space="preserve">Costo Real</t>
  </si>
  <si>
    <t xml:space="preserve">Costo Restante</t>
  </si>
  <si>
    <t xml:space="preserve">(costo calculado arriba)</t>
  </si>
  <si>
    <t xml:space="preserve">(costo planificado)</t>
  </si>
  <si>
    <t xml:space="preserve">(cambiará en ejec)</t>
  </si>
  <si>
    <t xml:space="preserve">(igual al costo total)</t>
  </si>
  <si>
    <t xml:space="preserve">0 (pq no ejecute)</t>
  </si>
  <si>
    <t xml:space="preserve">(costo total, pq me falta ejecutar todo)</t>
  </si>
  <si>
    <t xml:space="preserve">(en ejec: dif entre planif y ejecut)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</si>
</sst>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-&quot;$ &quot;* #,##0.00_-;&quot;-$ &quot;* #,##0.00_-;_-&quot;$ &quot;* \-??_-;_-@_-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u val="singl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17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17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a2" displayName="Tabla2" ref="A3:C12" headerRowCount="1" totalsRowCount="1" totalsRowShown="1">
  <autoFilter ref="A3:C12"/>
  <tableColumns count="3">
    <tableColumn id="1" name="Cargo"/>
    <tableColumn id="2" name="Sueldo mensual estimado" totalsRowFunction="sum"/>
    <tableColumn id="3" name="Costo anual" totalsRowFunction="sum"/>
  </tableColumns>
</table>
</file>

<file path=xl/tables/table2.xml><?xml version="1.0" encoding="utf-8"?>
<table xmlns="http://schemas.openxmlformats.org/spreadsheetml/2006/main" id="2" name="Tabla4" displayName="Tabla4" ref="E3:H28" headerRowCount="1" totalsRowCount="0" totalsRowShown="0">
  <autoFilter ref="E3:H28"/>
  <tableColumns count="4">
    <tableColumn id="1" name="Rubro"/>
    <tableColumn id="2" name="Costo Anual"/>
    <tableColumn id="3" name="Costo Mensual"/>
    <tableColumn id="4" name="Observaciones"/>
  </tableColumns>
</table>
</file>

<file path=xl/tables/table3.xml><?xml version="1.0" encoding="utf-8"?>
<table xmlns="http://schemas.openxmlformats.org/spreadsheetml/2006/main" id="3" name="Tabla5" displayName="Tabla5" ref="J3:M6" headerRowCount="1" totalsRowCount="1" totalsRowShown="1">
  <autoFilter ref="J3:M6"/>
  <tableColumns count="4">
    <tableColumn id="1" name="Categoría"/>
    <tableColumn id="2" name="Costo Anual" totalsRowFunction="sum"/>
    <tableColumn id="3" name="Costo Mensual" totalsRowFunction="sum"/>
    <tableColumn id="4" name="Costo Diario" totalsRowFunction="sum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4"/>
  <sheetViews>
    <sheetView showFormulas="false" showGridLines="true" showRowColHeaders="true" showZeros="true" rightToLeft="false" tabSelected="true" showOutlineSymbols="true" defaultGridColor="true" view="normal" topLeftCell="M23" colorId="64" zoomScale="100" zoomScaleNormal="100" zoomScalePageLayoutView="100" workbookViewId="0">
      <selection pane="topLeft" activeCell="T28" activeCellId="0" sqref="T28"/>
    </sheetView>
  </sheetViews>
  <sheetFormatPr defaultColWidth="9.14453125" defaultRowHeight="15" zeroHeight="false" outlineLevelRow="0" outlineLevelCol="0"/>
  <cols>
    <col collapsed="false" customWidth="true" hidden="false" outlineLevel="0" max="1" min="1" style="0" width="16.72"/>
    <col collapsed="false" customWidth="true" hidden="false" outlineLevel="0" max="2" min="2" style="0" width="14.57"/>
    <col collapsed="false" customWidth="true" hidden="false" outlineLevel="0" max="3" min="3" style="0" width="16.72"/>
    <col collapsed="false" customWidth="true" hidden="false" outlineLevel="0" max="5" min="5" style="0" width="16.29"/>
    <col collapsed="false" customWidth="true" hidden="false" outlineLevel="0" max="6" min="6" style="0" width="16.14"/>
    <col collapsed="false" customWidth="true" hidden="false" outlineLevel="0" max="7" min="7" style="0" width="13.29"/>
    <col collapsed="false" customWidth="true" hidden="false" outlineLevel="0" max="8" min="8" style="0" width="27.32"/>
    <col collapsed="false" customWidth="true" hidden="false" outlineLevel="0" max="10" min="10" style="0" width="14"/>
    <col collapsed="false" customWidth="true" hidden="false" outlineLevel="0" max="11" min="11" style="0" width="16.86"/>
    <col collapsed="false" customWidth="true" hidden="false" outlineLevel="0" max="12" min="12" style="0" width="14.57"/>
    <col collapsed="false" customWidth="true" hidden="false" outlineLevel="0" max="13" min="13" style="0" width="13"/>
    <col collapsed="false" customWidth="true" hidden="false" outlineLevel="0" max="15" min="15" style="0" width="12.32"/>
    <col collapsed="false" customWidth="true" hidden="false" outlineLevel="0" max="16" min="16" style="0" width="20.09"/>
    <col collapsed="false" customWidth="true" hidden="false" outlineLevel="0" max="17" min="17" style="0" width="17.38"/>
    <col collapsed="false" customWidth="true" hidden="false" outlineLevel="0" max="18" min="18" style="0" width="16.43"/>
    <col collapsed="false" customWidth="true" hidden="false" outlineLevel="0" max="19" min="19" style="0" width="16.72"/>
    <col collapsed="false" customWidth="true" hidden="false" outlineLevel="0" max="20" min="20" style="0" width="14.65"/>
    <col collapsed="false" customWidth="true" hidden="false" outlineLevel="0" max="21" min="21" style="0" width="13.36"/>
  </cols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0" t="s">
        <v>1</v>
      </c>
      <c r="E2" s="0" t="s">
        <v>2</v>
      </c>
      <c r="J2" s="0" t="s">
        <v>3</v>
      </c>
      <c r="O2" s="0" t="s">
        <v>4</v>
      </c>
    </row>
    <row r="3" customFormat="false" ht="44.55" hidden="false" customHeight="false" outlineLevel="0" collapsed="false">
      <c r="A3" s="1" t="s">
        <v>5</v>
      </c>
      <c r="B3" s="1" t="s">
        <v>6</v>
      </c>
      <c r="C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J3" s="1" t="s">
        <v>12</v>
      </c>
      <c r="K3" s="1" t="s">
        <v>9</v>
      </c>
      <c r="L3" s="1" t="s">
        <v>10</v>
      </c>
      <c r="M3" s="1" t="s">
        <v>13</v>
      </c>
      <c r="O3" s="2" t="s">
        <v>14</v>
      </c>
      <c r="Q3" s="2" t="s">
        <v>15</v>
      </c>
    </row>
    <row r="4" customFormat="false" ht="15.65" hidden="false" customHeight="false" outlineLevel="0" collapsed="false">
      <c r="A4" s="3" t="s">
        <v>16</v>
      </c>
      <c r="B4" s="4" t="n">
        <v>800000</v>
      </c>
      <c r="C4" s="4" t="n">
        <f aca="false">B4*12</f>
        <v>9600000</v>
      </c>
      <c r="E4" s="5" t="s">
        <v>17</v>
      </c>
      <c r="F4" s="3"/>
      <c r="G4" s="3"/>
      <c r="H4" s="3"/>
      <c r="J4" s="3" t="s">
        <v>18</v>
      </c>
      <c r="K4" s="4" t="n">
        <f aca="false">Tabla2[[#Totals],[Costo anual]]</f>
        <v>98400000</v>
      </c>
      <c r="L4" s="4" t="n">
        <f aca="false">Tabla5[[#This Row],[Costo Anual]]/12</f>
        <v>8200000</v>
      </c>
      <c r="M4" s="4" t="n">
        <f aca="false">Tabla5[[#This Row],[Costo Mensual]]/30</f>
        <v>273333.333333333</v>
      </c>
      <c r="Q4" s="2" t="s">
        <v>19</v>
      </c>
      <c r="V4" s="2" t="s">
        <v>20</v>
      </c>
    </row>
    <row r="5" customFormat="false" ht="30.1" hidden="false" customHeight="false" outlineLevel="0" collapsed="false">
      <c r="A5" s="3" t="s">
        <v>21</v>
      </c>
      <c r="B5" s="4" t="n">
        <v>1400000</v>
      </c>
      <c r="C5" s="4" t="n">
        <f aca="false">B5*12</f>
        <v>16800000</v>
      </c>
      <c r="E5" s="3" t="s">
        <v>22</v>
      </c>
      <c r="F5" s="4" t="n">
        <f aca="false">G5*12</f>
        <v>7200000</v>
      </c>
      <c r="G5" s="4" t="n">
        <v>600000</v>
      </c>
      <c r="H5" s="3" t="s">
        <v>23</v>
      </c>
      <c r="J5" s="3" t="s">
        <v>2</v>
      </c>
      <c r="K5" s="4" t="n">
        <f aca="false">F28</f>
        <v>9093000</v>
      </c>
      <c r="L5" s="4" t="n">
        <f aca="false">Tabla5[[#This Row],[Costo Anual]]/12</f>
        <v>757750</v>
      </c>
      <c r="M5" s="4" t="n">
        <f aca="false">Tabla5[[#This Row],[Costo Mensual]]/30</f>
        <v>25258.3333333333</v>
      </c>
      <c r="P5" s="2" t="s">
        <v>24</v>
      </c>
    </row>
    <row r="6" customFormat="false" ht="15.65" hidden="false" customHeight="false" outlineLevel="0" collapsed="false">
      <c r="A6" s="3" t="s">
        <v>25</v>
      </c>
      <c r="B6" s="4" t="n">
        <v>1200000</v>
      </c>
      <c r="C6" s="4" t="n">
        <f aca="false">B6*12</f>
        <v>14400000</v>
      </c>
      <c r="E6" s="3" t="s">
        <v>26</v>
      </c>
      <c r="F6" s="4" t="n">
        <f aca="false">G6*12</f>
        <v>1200000</v>
      </c>
      <c r="G6" s="4" t="n">
        <v>100000</v>
      </c>
      <c r="H6" s="3"/>
      <c r="J6" s="2" t="s">
        <v>3</v>
      </c>
      <c r="K6" s="6" t="n">
        <f aca="false">SUBTOTAL(109,Tabla5[Costo Anual])</f>
        <v>107493000</v>
      </c>
      <c r="L6" s="6" t="n">
        <f aca="false">SUBTOTAL(109,Tabla5[Costo Mensual])</f>
        <v>8957750</v>
      </c>
      <c r="M6" s="6" t="n">
        <f aca="false">SUBTOTAL(109,Tabla5[Costo Diario])</f>
        <v>298591.666666667</v>
      </c>
      <c r="Q6" s="2" t="s">
        <v>27</v>
      </c>
    </row>
    <row r="7" customFormat="false" ht="30.1" hidden="false" customHeight="false" outlineLevel="0" collapsed="false">
      <c r="A7" s="3" t="s">
        <v>28</v>
      </c>
      <c r="B7" s="4" t="n">
        <v>1100000</v>
      </c>
      <c r="C7" s="4" t="n">
        <f aca="false">B7*12</f>
        <v>13200000</v>
      </c>
      <c r="E7" s="3" t="s">
        <v>29</v>
      </c>
      <c r="F7" s="4" t="n">
        <f aca="false">G7*12</f>
        <v>600000</v>
      </c>
      <c r="G7" s="4" t="n">
        <v>50000</v>
      </c>
      <c r="H7" s="3" t="s">
        <v>30</v>
      </c>
      <c r="Q7" s="2" t="s">
        <v>31</v>
      </c>
    </row>
    <row r="8" customFormat="false" ht="30.1" hidden="false" customHeight="false" outlineLevel="0" collapsed="false">
      <c r="A8" s="3" t="s">
        <v>32</v>
      </c>
      <c r="B8" s="4" t="n">
        <v>1100000</v>
      </c>
      <c r="C8" s="4" t="n">
        <f aca="false">B8*12</f>
        <v>13200000</v>
      </c>
      <c r="E8" s="3" t="s">
        <v>33</v>
      </c>
      <c r="F8" s="4" t="n">
        <f aca="false">G8*12</f>
        <v>360000</v>
      </c>
      <c r="G8" s="4" t="n">
        <v>30000</v>
      </c>
      <c r="H8" s="3" t="s">
        <v>34</v>
      </c>
      <c r="P8" s="2" t="s">
        <v>35</v>
      </c>
    </row>
    <row r="9" customFormat="false" ht="30.1" hidden="false" customHeight="false" outlineLevel="0" collapsed="false">
      <c r="A9" s="3" t="s">
        <v>36</v>
      </c>
      <c r="B9" s="4" t="n">
        <v>1000000</v>
      </c>
      <c r="C9" s="4" t="n">
        <f aca="false">B9*12</f>
        <v>12000000</v>
      </c>
      <c r="E9" s="3" t="s">
        <v>37</v>
      </c>
      <c r="F9" s="4" t="n">
        <f aca="false">G9*12</f>
        <v>240000</v>
      </c>
      <c r="G9" s="4" t="n">
        <v>20000</v>
      </c>
      <c r="H9" s="3"/>
      <c r="Q9" s="2" t="s">
        <v>38</v>
      </c>
    </row>
    <row r="10" customFormat="false" ht="30.1" hidden="false" customHeight="false" outlineLevel="0" collapsed="false">
      <c r="A10" s="3" t="s">
        <v>39</v>
      </c>
      <c r="B10" s="4" t="n">
        <v>800000</v>
      </c>
      <c r="C10" s="4" t="n">
        <f aca="false">B10*12</f>
        <v>9600000</v>
      </c>
      <c r="E10" s="3" t="s">
        <v>40</v>
      </c>
      <c r="F10" s="4" t="n">
        <f aca="false">G10*12</f>
        <v>180000</v>
      </c>
      <c r="G10" s="4" t="n">
        <v>15000</v>
      </c>
      <c r="H10" s="3" t="s">
        <v>41</v>
      </c>
      <c r="Q10" s="2" t="s">
        <v>42</v>
      </c>
    </row>
    <row r="11" customFormat="false" ht="15.65" hidden="false" customHeight="false" outlineLevel="0" collapsed="false">
      <c r="A11" s="3" t="s">
        <v>43</v>
      </c>
      <c r="B11" s="4" t="n">
        <v>800000</v>
      </c>
      <c r="C11" s="4" t="n">
        <f aca="false">B11*12</f>
        <v>9600000</v>
      </c>
      <c r="E11" s="5" t="s">
        <v>44</v>
      </c>
      <c r="F11" s="7" t="n">
        <v>4380000</v>
      </c>
      <c r="G11" s="7" t="n">
        <v>365000</v>
      </c>
      <c r="H11" s="3"/>
      <c r="Q11" s="2" t="s">
        <v>45</v>
      </c>
    </row>
    <row r="12" customFormat="false" ht="30" hidden="false" customHeight="false" outlineLevel="0" collapsed="false">
      <c r="A12" s="0" t="s">
        <v>46</v>
      </c>
      <c r="B12" s="6" t="n">
        <f aca="false">SUBTOTAL(109,Tabla2[Sueldo mensual estimado])</f>
        <v>8200000</v>
      </c>
      <c r="C12" s="6" t="n">
        <f aca="false">SUBTOTAL(109,Tabla2[Costo anual])</f>
        <v>98400000</v>
      </c>
      <c r="E12" s="5" t="s">
        <v>47</v>
      </c>
      <c r="F12" s="3"/>
      <c r="G12" s="3"/>
      <c r="H12" s="3"/>
      <c r="Q12" s="2" t="s">
        <v>48</v>
      </c>
    </row>
    <row r="13" customFormat="false" ht="59" hidden="false" customHeight="false" outlineLevel="0" collapsed="false">
      <c r="E13" s="3" t="s">
        <v>49</v>
      </c>
      <c r="F13" s="4" t="n">
        <v>1333000</v>
      </c>
      <c r="G13" s="4" t="n">
        <f aca="false">F13/12</f>
        <v>111083.333333333</v>
      </c>
      <c r="H13" s="3" t="s">
        <v>50</v>
      </c>
    </row>
    <row r="14" customFormat="false" ht="44.55" hidden="false" customHeight="false" outlineLevel="0" collapsed="false">
      <c r="E14" s="3" t="s">
        <v>51</v>
      </c>
      <c r="F14" s="4" t="n">
        <f aca="false">G14*12</f>
        <v>396000</v>
      </c>
      <c r="G14" s="4" t="n">
        <v>33000</v>
      </c>
      <c r="H14" s="3"/>
      <c r="O14" s="2" t="s">
        <v>52</v>
      </c>
      <c r="Q14" s="2" t="s">
        <v>53</v>
      </c>
      <c r="S14" s="2" t="s">
        <v>54</v>
      </c>
      <c r="U14" s="2" t="s">
        <v>55</v>
      </c>
    </row>
    <row r="15" customFormat="false" ht="30" hidden="false" customHeight="false" outlineLevel="0" collapsed="false">
      <c r="E15" s="3" t="s">
        <v>56</v>
      </c>
      <c r="F15" s="4" t="n">
        <f aca="false">G15*12</f>
        <v>180000</v>
      </c>
      <c r="G15" s="4" t="n">
        <v>15000</v>
      </c>
      <c r="H15" s="3"/>
    </row>
    <row r="16" customFormat="false" ht="44.55" hidden="false" customHeight="false" outlineLevel="0" collapsed="false">
      <c r="E16" s="3" t="s">
        <v>57</v>
      </c>
      <c r="F16" s="4" t="n">
        <f aca="false">G16*12</f>
        <v>960000</v>
      </c>
      <c r="G16" s="4" t="n">
        <v>80000</v>
      </c>
      <c r="H16" s="3"/>
      <c r="O16" s="2" t="s">
        <v>58</v>
      </c>
      <c r="Q16" s="2" t="s">
        <v>59</v>
      </c>
    </row>
    <row r="17" customFormat="false" ht="30" hidden="false" customHeight="false" outlineLevel="0" collapsed="false">
      <c r="E17" s="5" t="s">
        <v>60</v>
      </c>
      <c r="F17" s="7" t="n">
        <v>2873000</v>
      </c>
      <c r="G17" s="7" t="n">
        <v>239000</v>
      </c>
      <c r="H17" s="3"/>
      <c r="R17" s="2" t="s">
        <v>61</v>
      </c>
    </row>
    <row r="18" customFormat="false" ht="30" hidden="false" customHeight="false" outlineLevel="0" collapsed="false">
      <c r="E18" s="5" t="s">
        <v>62</v>
      </c>
      <c r="F18" s="3"/>
      <c r="G18" s="3"/>
      <c r="H18" s="3"/>
    </row>
    <row r="19" customFormat="false" ht="30" hidden="false" customHeight="false" outlineLevel="0" collapsed="false">
      <c r="E19" s="3" t="s">
        <v>63</v>
      </c>
      <c r="F19" s="4" t="n">
        <f aca="false">G19*12</f>
        <v>996000</v>
      </c>
      <c r="G19" s="4" t="n">
        <v>83000</v>
      </c>
      <c r="H19" s="3"/>
      <c r="O19" s="2" t="s">
        <v>64</v>
      </c>
    </row>
    <row r="20" customFormat="false" ht="44.55" hidden="false" customHeight="false" outlineLevel="0" collapsed="false">
      <c r="E20" s="5" t="s">
        <v>65</v>
      </c>
      <c r="F20" s="3"/>
      <c r="G20" s="3"/>
      <c r="H20" s="3"/>
      <c r="O20" s="2" t="s">
        <v>66</v>
      </c>
    </row>
    <row r="21" customFormat="false" ht="44.55" hidden="false" customHeight="false" outlineLevel="0" collapsed="false">
      <c r="E21" s="3" t="s">
        <v>67</v>
      </c>
      <c r="F21" s="4"/>
      <c r="G21" s="4"/>
      <c r="H21" s="3" t="s">
        <v>68</v>
      </c>
      <c r="O21" s="2" t="s">
        <v>69</v>
      </c>
    </row>
    <row r="22" customFormat="false" ht="44.55" hidden="false" customHeight="false" outlineLevel="0" collapsed="false">
      <c r="E22" s="3" t="s">
        <v>70</v>
      </c>
      <c r="F22" s="4"/>
      <c r="G22" s="4"/>
      <c r="H22" s="3" t="s">
        <v>71</v>
      </c>
    </row>
    <row r="23" customFormat="false" ht="30.1" hidden="false" customHeight="false" outlineLevel="0" collapsed="false">
      <c r="E23" s="3" t="s">
        <v>72</v>
      </c>
      <c r="F23" s="4"/>
      <c r="G23" s="4"/>
      <c r="H23" s="3"/>
      <c r="O23" s="2" t="s">
        <v>73</v>
      </c>
      <c r="S23" s="8"/>
    </row>
    <row r="24" customFormat="false" ht="44.55" hidden="false" customHeight="false" outlineLevel="0" collapsed="false">
      <c r="E24" s="3" t="s">
        <v>74</v>
      </c>
      <c r="F24" s="4"/>
      <c r="G24" s="4"/>
      <c r="H24" s="3" t="s">
        <v>75</v>
      </c>
      <c r="O24" s="2" t="s">
        <v>76</v>
      </c>
    </row>
    <row r="25" customFormat="false" ht="30.1" hidden="false" customHeight="false" outlineLevel="0" collapsed="false">
      <c r="E25" s="3" t="s">
        <v>77</v>
      </c>
      <c r="F25" s="4" t="n">
        <v>120000</v>
      </c>
      <c r="G25" s="4" t="n">
        <v>10000</v>
      </c>
      <c r="H25" s="3"/>
      <c r="O25" s="2" t="s">
        <v>78</v>
      </c>
    </row>
    <row r="26" customFormat="false" ht="44.55" hidden="false" customHeight="false" outlineLevel="0" collapsed="false">
      <c r="E26" s="3" t="s">
        <v>79</v>
      </c>
      <c r="F26" s="4" t="n">
        <v>480000</v>
      </c>
      <c r="G26" s="4" t="n">
        <v>40000</v>
      </c>
      <c r="H26" s="3"/>
      <c r="O26" s="2" t="s">
        <v>80</v>
      </c>
    </row>
    <row r="27" customFormat="false" ht="30" hidden="false" customHeight="false" outlineLevel="0" collapsed="false">
      <c r="E27" s="5" t="s">
        <v>81</v>
      </c>
      <c r="F27" s="7" t="n">
        <v>840000</v>
      </c>
      <c r="G27" s="7" t="n">
        <v>70000</v>
      </c>
      <c r="H27" s="3"/>
      <c r="O27" s="2" t="s">
        <v>82</v>
      </c>
    </row>
    <row r="28" customFormat="false" ht="30" hidden="false" customHeight="false" outlineLevel="0" collapsed="false">
      <c r="E28" s="5" t="s">
        <v>83</v>
      </c>
      <c r="F28" s="7" t="n">
        <v>9093000</v>
      </c>
      <c r="G28" s="7" t="n">
        <v>757000</v>
      </c>
      <c r="H28" s="3"/>
      <c r="T28" s="2"/>
    </row>
    <row r="29" customFormat="false" ht="15" hidden="false" customHeight="false" outlineLevel="0" collapsed="false">
      <c r="O29" s="0" t="s">
        <v>84</v>
      </c>
    </row>
    <row r="31" customFormat="false" ht="15" hidden="false" customHeight="false" outlineLevel="0" collapsed="false">
      <c r="O31" s="0" t="s">
        <v>85</v>
      </c>
      <c r="T31" s="0" t="s">
        <v>86</v>
      </c>
    </row>
    <row r="32" customFormat="false" ht="15" hidden="false" customHeight="false" outlineLevel="0" collapsed="false">
      <c r="O32" s="0" t="s">
        <v>87</v>
      </c>
      <c r="P32" s="0" t="s">
        <v>88</v>
      </c>
      <c r="Q32" s="0" t="s">
        <v>89</v>
      </c>
      <c r="R32" s="0" t="s">
        <v>90</v>
      </c>
      <c r="S32" s="0" t="s">
        <v>91</v>
      </c>
      <c r="T32" s="0" t="s">
        <v>92</v>
      </c>
      <c r="U32" s="0" t="s">
        <v>93</v>
      </c>
    </row>
    <row r="33" customFormat="false" ht="15" hidden="false" customHeight="false" outlineLevel="0" collapsed="false">
      <c r="P33" s="0" t="s">
        <v>94</v>
      </c>
      <c r="Q33" s="0" t="s">
        <v>95</v>
      </c>
      <c r="R33" s="0" t="s">
        <v>96</v>
      </c>
      <c r="S33" s="0" t="s">
        <v>97</v>
      </c>
      <c r="T33" s="0" t="s">
        <v>98</v>
      </c>
      <c r="U33" s="0" t="s">
        <v>99</v>
      </c>
    </row>
    <row r="34" customFormat="false" ht="15" hidden="false" customHeight="false" outlineLevel="0" collapsed="false">
      <c r="S34" s="0" t="s">
        <v>100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Lautaro Faccini</dc:creator>
  <dc:description/>
  <dc:language>es-AR</dc:language>
  <cp:lastModifiedBy/>
  <dcterms:modified xsi:type="dcterms:W3CDTF">2025-11-11T19:32:37Z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