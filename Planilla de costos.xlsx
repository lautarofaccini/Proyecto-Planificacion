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bookViews>
    <workbookView xWindow="0" yWindow="0" windowWidth="28800" windowHeight="13620" tabRatio="500"/>
  </bookViews>
  <sheets>
    <sheet name="Hoja1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9" i="1" l="1"/>
  <c r="F16" i="1"/>
  <c r="F15" i="1"/>
  <c r="F14" i="1"/>
  <c r="G13" i="1"/>
  <c r="C12" i="1"/>
  <c r="K4" i="1" s="1"/>
  <c r="B12" i="1"/>
  <c r="C11" i="1"/>
  <c r="F10" i="1"/>
  <c r="C10" i="1"/>
  <c r="F9" i="1"/>
  <c r="C9" i="1"/>
  <c r="F8" i="1"/>
  <c r="C8" i="1"/>
  <c r="F7" i="1"/>
  <c r="C7" i="1"/>
  <c r="F6" i="1"/>
  <c r="C6" i="1"/>
  <c r="M5" i="1"/>
  <c r="L5" i="1"/>
  <c r="K5" i="1"/>
  <c r="F5" i="1"/>
  <c r="C5" i="1"/>
  <c r="C4" i="1"/>
  <c r="K6" i="1" l="1"/>
  <c r="L4" i="1"/>
  <c r="L6" i="1" l="1"/>
  <c r="M4" i="1"/>
  <c r="M6" i="1" s="1"/>
</calcChain>
</file>

<file path=xl/sharedStrings.xml><?xml version="1.0" encoding="utf-8"?>
<sst xmlns="http://schemas.openxmlformats.org/spreadsheetml/2006/main" count="105" uniqueCount="101">
  <si>
    <t>Planilla de Costos</t>
  </si>
  <si>
    <t>Costos Directos</t>
  </si>
  <si>
    <t>Costos Indirectos</t>
  </si>
  <si>
    <t>Total General</t>
  </si>
  <si>
    <t>Notas</t>
  </si>
  <si>
    <t>Cargo</t>
  </si>
  <si>
    <t>Sueldo mensual estimado</t>
  </si>
  <si>
    <t>Costo anual</t>
  </si>
  <si>
    <t>Rubro</t>
  </si>
  <si>
    <t>Costo Anual</t>
  </si>
  <si>
    <t>Costo Mensual</t>
  </si>
  <si>
    <t>Observaciones</t>
  </si>
  <si>
    <t>Categoría</t>
  </si>
  <si>
    <t>Costo Diario</t>
  </si>
  <si>
    <t xml:space="preserve">Monotributo?? </t>
  </si>
  <si>
    <t>Si el empleado es socio, se factura el monotributo</t>
  </si>
  <si>
    <t>Jefe de Proyecto</t>
  </si>
  <si>
    <t>1. Oficina</t>
  </si>
  <si>
    <t xml:space="preserve">Costos Directos </t>
  </si>
  <si>
    <t>Si es empleado, aporte jubilatorio , obra social</t>
  </si>
  <si>
    <t>Se saca un poco del empleador y del empleado</t>
  </si>
  <si>
    <t>Arquitecto de Software</t>
  </si>
  <si>
    <t>Alquiler</t>
  </si>
  <si>
    <t>Oficina pequeña para 8 personas</t>
  </si>
  <si>
    <t>Para socio (jefe)</t>
  </si>
  <si>
    <t>DevOps</t>
  </si>
  <si>
    <t>Expensas</t>
  </si>
  <si>
    <t>El jefe de proyecto va a ser dueño (tiene costo por uso: cada vez q lo asigno se cobra)</t>
  </si>
  <si>
    <t>Desarrollador Full Stack 1</t>
  </si>
  <si>
    <t>Servicios (agua, luz, gas, limpieza)</t>
  </si>
  <si>
    <t>Promedio anualizado</t>
  </si>
  <si>
    <t>1 monotributo en la tabla de costo por el jefe</t>
  </si>
  <si>
    <t>Desarrollador Full Stack 2</t>
  </si>
  <si>
    <t>Internet corporativo</t>
  </si>
  <si>
    <t>Fibra óptica + respaldo</t>
  </si>
  <si>
    <t>Para empleado</t>
  </si>
  <si>
    <t>Desarrollador Backend</t>
  </si>
  <si>
    <t>Teléfonos y comunicaciones</t>
  </si>
  <si>
    <t>Vamos a asumir que en tasa estandar esta contado el aporte/obra social</t>
  </si>
  <si>
    <t>Analista Junior 1</t>
  </si>
  <si>
    <t>Impuestos y tasas</t>
  </si>
  <si>
    <t>Incluye inmobiliario y tasas municipales</t>
  </si>
  <si>
    <t>N Seguros de vida (costo fijo por cada recurso)</t>
  </si>
  <si>
    <t>Analista Junior 2</t>
  </si>
  <si>
    <t>Subtotal Oficina</t>
  </si>
  <si>
    <t xml:space="preserve">1 Seguro contra robo /incendio </t>
  </si>
  <si>
    <t>Total</t>
  </si>
  <si>
    <t>2. Equipamiento y Amortización</t>
  </si>
  <si>
    <t>Tasa estandar por cada empleado</t>
  </si>
  <si>
    <t>PC y monitores (8 puestos × $500.000) amort. 3 años</t>
  </si>
  <si>
    <t>$4.000.000 / 3 = $1.333.000</t>
  </si>
  <si>
    <t>Servidores y dispositivos (3 años)</t>
  </si>
  <si>
    <t>Amortizacion</t>
  </si>
  <si>
    <t xml:space="preserve">O alquilo o amortizo </t>
  </si>
  <si>
    <t>el resultado es anual</t>
  </si>
  <si>
    <t>Eso /12 da mensual</t>
  </si>
  <si>
    <t>Muebles y sillas (10 años)</t>
  </si>
  <si>
    <t>Software licencias (GitHub, JetBrains, etc.)</t>
  </si>
  <si>
    <t>Utiles</t>
  </si>
  <si>
    <t>Poner unos pesos para los utiles</t>
  </si>
  <si>
    <t>Subtotal Equipamiento</t>
  </si>
  <si>
    <t>tinta, cartuchos, toner, papel, fibrones</t>
  </si>
  <si>
    <t>3. Transporte y movilidad</t>
  </si>
  <si>
    <t>Transporte urbano y viajes</t>
  </si>
  <si>
    <t>Cuando es propio de la empresa es amortización</t>
  </si>
  <si>
    <t>4. Gastos profesionales y seguros</t>
  </si>
  <si>
    <t>No hay matricula para informaticos</t>
  </si>
  <si>
    <t>Seguro de vida</t>
  </si>
  <si>
    <t>Total para los 8 empleados</t>
  </si>
  <si>
    <t>Suscripcion tecnica no va</t>
  </si>
  <si>
    <t>Tasa estándar</t>
  </si>
  <si>
    <t>Aporte jubilatorio / obra social total para los 8 empleados</t>
  </si>
  <si>
    <t>Seguro contra robos/incendios</t>
  </si>
  <si>
    <t>el costo fijo mensual lo divido entre 30 y obtengo el costo fijo diario</t>
  </si>
  <si>
    <t>Monotributo</t>
  </si>
  <si>
    <t>Para el jefe del proyecto</t>
  </si>
  <si>
    <t>ese costo lo multiplico por la duracion total del proyecto</t>
  </si>
  <si>
    <t>Aportes contables, matrícula, etc.</t>
  </si>
  <si>
    <t>eso nos da el costo fijo del proyecto</t>
  </si>
  <si>
    <t>Capacitación, cursos, conferencias</t>
  </si>
  <si>
    <t xml:space="preserve">ponemos ese valor en la tabla de costos del proyect, </t>
  </si>
  <si>
    <t>Subtotal profesional</t>
  </si>
  <si>
    <t>en la primer tarea resumen (Nombre del proyecto), en la celda Costos fijos</t>
  </si>
  <si>
    <t>TOTAL COSTOS INDIRECTOS</t>
  </si>
  <si>
    <t>Como hace para calcular el costo variable? Tiene en cuenta el costo de cada recurso humano o material y la duracion de la tarea</t>
  </si>
  <si>
    <t>Tabla de costos del project</t>
  </si>
  <si>
    <t>Ejecucion…</t>
  </si>
  <si>
    <t>Nombre tarea</t>
  </si>
  <si>
    <t>Costo Fijo</t>
  </si>
  <si>
    <t>Costo Total</t>
  </si>
  <si>
    <t>Costo Previsto</t>
  </si>
  <si>
    <t>Variacion</t>
  </si>
  <si>
    <t>Costo Real</t>
  </si>
  <si>
    <t>Costo Restante</t>
  </si>
  <si>
    <t>(costo calculado arriba)</t>
  </si>
  <si>
    <t>(costo planificado)</t>
  </si>
  <si>
    <t>(cambiará en ejec)</t>
  </si>
  <si>
    <t>(igual al costo total)</t>
  </si>
  <si>
    <t>0 (pq no ejecute)</t>
  </si>
  <si>
    <t>(costo total, pq me falta ejecutar todo)</t>
  </si>
  <si>
    <t>(en ejec: dif entre planif y ejecut)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</si>
</sst>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$ &quot;* #,##0.00_-;&quot;-$ &quot;* #,##0.00_-;_-&quot;$ &quot;* \-??_-;_-@_-"/>
  </numFmts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Border="0" applyProtection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Font="1"/>
    <xf numFmtId="0" fontId="0" fillId="0" borderId="0" xfId="0" applyFont="1" applyAlignment="1">
      <alignment vertical="center" wrapText="1"/>
    </xf>
    <xf numFmtId="164" fontId="0" fillId="0" borderId="0" xfId="1" applyFont="1" applyBorder="1" applyAlignment="1" applyProtection="1">
      <alignment vertical="center" wrapText="1"/>
    </xf>
    <xf numFmtId="0" fontId="1" fillId="0" borderId="0" xfId="0" applyFont="1" applyAlignment="1">
      <alignment vertical="center" wrapText="1"/>
    </xf>
    <xf numFmtId="164" fontId="0" fillId="0" borderId="0" xfId="1" applyFont="1" applyBorder="1" applyAlignment="1" applyProtection="1"/>
    <xf numFmtId="164" fontId="1" fillId="0" borderId="0" xfId="1" applyFont="1" applyBorder="1" applyAlignment="1" applyProtection="1">
      <alignment vertical="center" wrapText="1"/>
    </xf>
    <xf numFmtId="0" fontId="2" fillId="0" borderId="0" xfId="0" applyFont="1"/>
    <xf numFmtId="0" fontId="4" fillId="0" borderId="0" xfId="0" applyFont="1" applyAlignment="1">
      <alignment vertical="center" wrapText="1"/>
    </xf>
    <xf numFmtId="164" fontId="4" fillId="0" borderId="0" xfId="1" applyFont="1" applyBorder="1" applyAlignment="1" applyProtection="1">
      <alignment vertical="center" wrapText="1"/>
    </xf>
    <xf numFmtId="0" fontId="4" fillId="0" borderId="0" xfId="0" applyFont="1"/>
    <xf numFmtId="164" fontId="4" fillId="0" borderId="0" xfId="1" applyFont="1" applyBorder="1" applyAlignment="1" applyProtection="1"/>
  </cellXfs>
  <cellStyles count="2">
    <cellStyle name="Moneda" xfId="1" builtinId="4"/>
    <cellStyle name="Normal" xfId="0" builtinId="0"/>
  </cellStyles>
  <dxfs count="6">
    <dxf>
      <font>
        <strike val="0"/>
        <outline val="0"/>
        <shadow val="0"/>
        <u val="none"/>
        <vertAlign val="baseline"/>
        <sz val="11"/>
        <color rgb="FFFF000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a2" displayName="Tabla2" ref="A3:C12" totalsRowCount="1">
  <autoFilter ref="A3:C11"/>
  <tableColumns count="3">
    <tableColumn id="1" name="Cargo" totalsRowLabel="Total" dataDxfId="5" totalsRowDxfId="4"/>
    <tableColumn id="2" name="Sueldo mensual estimado" totalsRowFunction="sum" dataDxfId="3" totalsRowDxfId="2"/>
    <tableColumn id="3" name="Costo anual" totalsRowFunction="sum" dataDxfId="1" totalsRow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a4" displayName="Tabla4" ref="E3:H28" totalsRowShown="0">
  <autoFilter ref="E3:H28"/>
  <tableColumns count="4">
    <tableColumn id="1" name="Rubro"/>
    <tableColumn id="2" name="Costo Anual"/>
    <tableColumn id="3" name="Costo Mensual"/>
    <tableColumn id="4" name="Observacione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J3:M6" totalsRowCount="1">
  <autoFilter ref="J3:M5"/>
  <tableColumns count="4">
    <tableColumn id="1" name="Categoría" totalsRowLabel="Total General"/>
    <tableColumn id="2" name="Costo Anual" totalsRowFunction="sum"/>
    <tableColumn id="3" name="Costo Mensual" totalsRowFunction="sum"/>
    <tableColumn id="4" name="Costo Diario" totalsRowFunction="su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4"/>
  <sheetViews>
    <sheetView tabSelected="1" topLeftCell="D10" zoomScaleNormal="100" workbookViewId="0">
      <selection activeCell="H21" sqref="H21"/>
    </sheetView>
  </sheetViews>
  <sheetFormatPr baseColWidth="10" defaultColWidth="9.140625" defaultRowHeight="15" x14ac:dyDescent="0.25"/>
  <cols>
    <col min="1" max="1" width="16.7109375" customWidth="1"/>
    <col min="2" max="2" width="14.5703125" customWidth="1"/>
    <col min="3" max="3" width="16.7109375" customWidth="1"/>
    <col min="5" max="5" width="16.28515625" customWidth="1"/>
    <col min="6" max="6" width="16.140625" customWidth="1"/>
    <col min="7" max="7" width="13.28515625" customWidth="1"/>
    <col min="8" max="8" width="27.28515625" customWidth="1"/>
    <col min="10" max="10" width="14" customWidth="1"/>
    <col min="11" max="11" width="16.85546875" customWidth="1"/>
    <col min="12" max="12" width="14.5703125" customWidth="1"/>
    <col min="13" max="13" width="13" customWidth="1"/>
    <col min="15" max="15" width="12.28515625" customWidth="1"/>
    <col min="16" max="16" width="20.140625" customWidth="1"/>
    <col min="17" max="17" width="17.42578125" customWidth="1"/>
    <col min="18" max="18" width="16.42578125" customWidth="1"/>
    <col min="19" max="19" width="16.7109375" customWidth="1"/>
    <col min="20" max="20" width="14.7109375" customWidth="1"/>
    <col min="21" max="21" width="13.42578125" customWidth="1"/>
  </cols>
  <sheetData>
    <row r="1" spans="1:22" x14ac:dyDescent="0.25">
      <c r="A1" t="s">
        <v>0</v>
      </c>
    </row>
    <row r="2" spans="1:22" x14ac:dyDescent="0.25">
      <c r="A2" t="s">
        <v>1</v>
      </c>
      <c r="E2" t="s">
        <v>2</v>
      </c>
      <c r="J2" t="s">
        <v>3</v>
      </c>
      <c r="O2" t="s">
        <v>4</v>
      </c>
    </row>
    <row r="3" spans="1:22" ht="45" x14ac:dyDescent="0.25">
      <c r="A3" s="1" t="s">
        <v>5</v>
      </c>
      <c r="B3" s="1" t="s">
        <v>6</v>
      </c>
      <c r="C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J3" s="1" t="s">
        <v>12</v>
      </c>
      <c r="K3" s="1" t="s">
        <v>9</v>
      </c>
      <c r="L3" s="1" t="s">
        <v>10</v>
      </c>
      <c r="M3" s="1" t="s">
        <v>13</v>
      </c>
      <c r="O3" s="2" t="s">
        <v>14</v>
      </c>
      <c r="Q3" s="2" t="s">
        <v>15</v>
      </c>
    </row>
    <row r="4" spans="1:22" ht="30" x14ac:dyDescent="0.25">
      <c r="A4" s="9" t="s">
        <v>16</v>
      </c>
      <c r="B4" s="10">
        <v>800000</v>
      </c>
      <c r="C4" s="10">
        <f t="shared" ref="C4:C11" si="0">B4*12</f>
        <v>9600000</v>
      </c>
      <c r="E4" s="5" t="s">
        <v>17</v>
      </c>
      <c r="F4" s="3"/>
      <c r="G4" s="3"/>
      <c r="H4" s="3"/>
      <c r="J4" s="3" t="s">
        <v>18</v>
      </c>
      <c r="K4" s="4">
        <f>Tabla2[[#Totals],[Costo anual]]</f>
        <v>98400000</v>
      </c>
      <c r="L4" s="4">
        <f>Tabla5[[#This Row],[Costo Anual]]/12</f>
        <v>8200000</v>
      </c>
      <c r="M4" s="4">
        <f>Tabla5[[#This Row],[Costo Mensual]]/30</f>
        <v>273333.33333333331</v>
      </c>
      <c r="Q4" s="2" t="s">
        <v>19</v>
      </c>
      <c r="V4" s="2" t="s">
        <v>20</v>
      </c>
    </row>
    <row r="5" spans="1:22" ht="30" x14ac:dyDescent="0.25">
      <c r="A5" s="9" t="s">
        <v>21</v>
      </c>
      <c r="B5" s="10">
        <v>1400000</v>
      </c>
      <c r="C5" s="10">
        <f t="shared" si="0"/>
        <v>16800000</v>
      </c>
      <c r="E5" s="3" t="s">
        <v>22</v>
      </c>
      <c r="F5" s="4">
        <f t="shared" ref="F5:F10" si="1">G5*12</f>
        <v>7200000</v>
      </c>
      <c r="G5" s="4">
        <v>600000</v>
      </c>
      <c r="H5" s="3" t="s">
        <v>23</v>
      </c>
      <c r="J5" s="3" t="s">
        <v>2</v>
      </c>
      <c r="K5" s="4">
        <f>F28</f>
        <v>9093000</v>
      </c>
      <c r="L5" s="4">
        <f>Tabla5[[#This Row],[Costo Anual]]/12</f>
        <v>757750</v>
      </c>
      <c r="M5" s="4">
        <f>Tabla5[[#This Row],[Costo Mensual]]/30</f>
        <v>25258.333333333332</v>
      </c>
      <c r="P5" s="2" t="s">
        <v>24</v>
      </c>
    </row>
    <row r="6" spans="1:22" x14ac:dyDescent="0.25">
      <c r="A6" s="9" t="s">
        <v>25</v>
      </c>
      <c r="B6" s="10">
        <v>1200000</v>
      </c>
      <c r="C6" s="10">
        <f t="shared" si="0"/>
        <v>14400000</v>
      </c>
      <c r="E6" s="3" t="s">
        <v>26</v>
      </c>
      <c r="F6" s="4">
        <f t="shared" si="1"/>
        <v>1200000</v>
      </c>
      <c r="G6" s="4">
        <v>100000</v>
      </c>
      <c r="H6" s="3"/>
      <c r="J6" s="2" t="s">
        <v>3</v>
      </c>
      <c r="K6" s="6">
        <f>SUBTOTAL(109,Tabla5[Costo Anual])</f>
        <v>107493000</v>
      </c>
      <c r="L6" s="6">
        <f>SUBTOTAL(109,Tabla5[Costo Mensual])</f>
        <v>8957750</v>
      </c>
      <c r="M6" s="6">
        <f>SUBTOTAL(109,Tabla5[Costo Diario])</f>
        <v>298591.66666666663</v>
      </c>
      <c r="Q6" s="2" t="s">
        <v>27</v>
      </c>
    </row>
    <row r="7" spans="1:22" ht="45" x14ac:dyDescent="0.25">
      <c r="A7" s="9" t="s">
        <v>28</v>
      </c>
      <c r="B7" s="10">
        <v>1100000</v>
      </c>
      <c r="C7" s="10">
        <f t="shared" si="0"/>
        <v>13200000</v>
      </c>
      <c r="E7" s="3" t="s">
        <v>29</v>
      </c>
      <c r="F7" s="4">
        <f t="shared" si="1"/>
        <v>600000</v>
      </c>
      <c r="G7" s="4">
        <v>50000</v>
      </c>
      <c r="H7" s="3" t="s">
        <v>30</v>
      </c>
      <c r="Q7" s="2" t="s">
        <v>31</v>
      </c>
    </row>
    <row r="8" spans="1:22" ht="30" x14ac:dyDescent="0.25">
      <c r="A8" s="9" t="s">
        <v>32</v>
      </c>
      <c r="B8" s="10">
        <v>1100000</v>
      </c>
      <c r="C8" s="10">
        <f t="shared" si="0"/>
        <v>13200000</v>
      </c>
      <c r="E8" s="3" t="s">
        <v>33</v>
      </c>
      <c r="F8" s="4">
        <f t="shared" si="1"/>
        <v>360000</v>
      </c>
      <c r="G8" s="4">
        <v>30000</v>
      </c>
      <c r="H8" s="3" t="s">
        <v>34</v>
      </c>
      <c r="P8" s="2" t="s">
        <v>35</v>
      </c>
    </row>
    <row r="9" spans="1:22" ht="30" x14ac:dyDescent="0.25">
      <c r="A9" s="9" t="s">
        <v>36</v>
      </c>
      <c r="B9" s="10">
        <v>1000000</v>
      </c>
      <c r="C9" s="10">
        <f t="shared" si="0"/>
        <v>12000000</v>
      </c>
      <c r="E9" s="3" t="s">
        <v>37</v>
      </c>
      <c r="F9" s="4">
        <f t="shared" si="1"/>
        <v>240000</v>
      </c>
      <c r="G9" s="4">
        <v>20000</v>
      </c>
      <c r="H9" s="3"/>
      <c r="Q9" s="2" t="s">
        <v>38</v>
      </c>
    </row>
    <row r="10" spans="1:22" ht="30" x14ac:dyDescent="0.25">
      <c r="A10" s="9" t="s">
        <v>39</v>
      </c>
      <c r="B10" s="10">
        <v>800000</v>
      </c>
      <c r="C10" s="10">
        <f t="shared" si="0"/>
        <v>9600000</v>
      </c>
      <c r="E10" s="3" t="s">
        <v>40</v>
      </c>
      <c r="F10" s="4">
        <f t="shared" si="1"/>
        <v>180000</v>
      </c>
      <c r="G10" s="4">
        <v>15000</v>
      </c>
      <c r="H10" s="3" t="s">
        <v>41</v>
      </c>
      <c r="Q10" s="2" t="s">
        <v>42</v>
      </c>
    </row>
    <row r="11" spans="1:22" x14ac:dyDescent="0.25">
      <c r="A11" s="9" t="s">
        <v>43</v>
      </c>
      <c r="B11" s="10">
        <v>800000</v>
      </c>
      <c r="C11" s="10">
        <f t="shared" si="0"/>
        <v>9600000</v>
      </c>
      <c r="E11" s="5" t="s">
        <v>44</v>
      </c>
      <c r="F11" s="7">
        <v>4380000</v>
      </c>
      <c r="G11" s="7">
        <v>365000</v>
      </c>
      <c r="H11" s="3"/>
      <c r="Q11" s="2" t="s">
        <v>45</v>
      </c>
    </row>
    <row r="12" spans="1:22" ht="30" x14ac:dyDescent="0.25">
      <c r="A12" s="11" t="s">
        <v>46</v>
      </c>
      <c r="B12" s="12">
        <f>SUBTOTAL(109,Tabla2[Sueldo mensual estimado])</f>
        <v>8200000</v>
      </c>
      <c r="C12" s="12">
        <f>SUBTOTAL(109,Tabla2[Costo anual])</f>
        <v>98400000</v>
      </c>
      <c r="E12" s="5" t="s">
        <v>47</v>
      </c>
      <c r="F12" s="3"/>
      <c r="G12" s="3"/>
      <c r="H12" s="3"/>
      <c r="Q12" s="2" t="s">
        <v>48</v>
      </c>
    </row>
    <row r="13" spans="1:22" ht="60" x14ac:dyDescent="0.25">
      <c r="E13" s="3" t="s">
        <v>49</v>
      </c>
      <c r="F13" s="4">
        <v>1333000</v>
      </c>
      <c r="G13" s="4">
        <f>F13/12</f>
        <v>111083.33333333333</v>
      </c>
      <c r="H13" s="3" t="s">
        <v>50</v>
      </c>
    </row>
    <row r="14" spans="1:22" ht="45" x14ac:dyDescent="0.25">
      <c r="E14" s="3" t="s">
        <v>51</v>
      </c>
      <c r="F14" s="4">
        <f>G14*12</f>
        <v>396000</v>
      </c>
      <c r="G14" s="4">
        <v>33000</v>
      </c>
      <c r="H14" s="3"/>
      <c r="O14" s="2" t="s">
        <v>52</v>
      </c>
      <c r="Q14" s="2" t="s">
        <v>53</v>
      </c>
      <c r="S14" s="2" t="s">
        <v>54</v>
      </c>
      <c r="U14" s="2" t="s">
        <v>55</v>
      </c>
    </row>
    <row r="15" spans="1:22" ht="30" x14ac:dyDescent="0.25">
      <c r="E15" s="3" t="s">
        <v>56</v>
      </c>
      <c r="F15" s="4">
        <f>G15*12</f>
        <v>180000</v>
      </c>
      <c r="G15" s="4">
        <v>15000</v>
      </c>
      <c r="H15" s="3"/>
    </row>
    <row r="16" spans="1:22" ht="60" x14ac:dyDescent="0.25">
      <c r="E16" s="3" t="s">
        <v>57</v>
      </c>
      <c r="F16" s="4">
        <f>G16*12</f>
        <v>960000</v>
      </c>
      <c r="G16" s="4">
        <v>80000</v>
      </c>
      <c r="H16" s="3"/>
      <c r="O16" s="2" t="s">
        <v>58</v>
      </c>
      <c r="Q16" s="2" t="s">
        <v>59</v>
      </c>
    </row>
    <row r="17" spans="5:21" ht="30" x14ac:dyDescent="0.25">
      <c r="E17" s="5" t="s">
        <v>60</v>
      </c>
      <c r="F17" s="7">
        <v>2873000</v>
      </c>
      <c r="G17" s="7">
        <v>239000</v>
      </c>
      <c r="H17" s="3"/>
      <c r="R17" s="2" t="s">
        <v>61</v>
      </c>
    </row>
    <row r="18" spans="5:21" ht="30" x14ac:dyDescent="0.25">
      <c r="E18" s="5" t="s">
        <v>62</v>
      </c>
      <c r="F18" s="3"/>
      <c r="G18" s="3"/>
      <c r="H18" s="3"/>
    </row>
    <row r="19" spans="5:21" ht="30" x14ac:dyDescent="0.25">
      <c r="E19" s="3" t="s">
        <v>63</v>
      </c>
      <c r="F19" s="4">
        <f>G19*12</f>
        <v>996000</v>
      </c>
      <c r="G19" s="4">
        <v>83000</v>
      </c>
      <c r="H19" s="3"/>
      <c r="O19" s="2" t="s">
        <v>64</v>
      </c>
    </row>
    <row r="20" spans="5:21" ht="45" x14ac:dyDescent="0.25">
      <c r="E20" s="5" t="s">
        <v>65</v>
      </c>
      <c r="F20" s="3"/>
      <c r="G20" s="3"/>
      <c r="H20" s="3"/>
      <c r="O20" s="2" t="s">
        <v>66</v>
      </c>
    </row>
    <row r="21" spans="5:21" x14ac:dyDescent="0.25">
      <c r="E21" s="3" t="s">
        <v>67</v>
      </c>
      <c r="F21" s="4"/>
      <c r="G21" s="4"/>
      <c r="H21" s="3" t="s">
        <v>68</v>
      </c>
      <c r="O21" s="2" t="s">
        <v>69</v>
      </c>
    </row>
    <row r="22" spans="5:21" ht="45" x14ac:dyDescent="0.25">
      <c r="E22" s="3" t="s">
        <v>70</v>
      </c>
      <c r="F22" s="4"/>
      <c r="G22" s="4"/>
      <c r="H22" s="3" t="s">
        <v>71</v>
      </c>
    </row>
    <row r="23" spans="5:21" ht="30" x14ac:dyDescent="0.25">
      <c r="E23" s="3" t="s">
        <v>72</v>
      </c>
      <c r="F23" s="4"/>
      <c r="G23" s="4"/>
      <c r="H23" s="3"/>
      <c r="O23" s="2" t="s">
        <v>73</v>
      </c>
      <c r="S23" s="8"/>
    </row>
    <row r="24" spans="5:21" x14ac:dyDescent="0.25">
      <c r="E24" s="3" t="s">
        <v>74</v>
      </c>
      <c r="F24" s="4"/>
      <c r="G24" s="4"/>
      <c r="H24" s="3" t="s">
        <v>75</v>
      </c>
      <c r="O24" s="2" t="s">
        <v>76</v>
      </c>
    </row>
    <row r="25" spans="5:21" ht="45" x14ac:dyDescent="0.25">
      <c r="E25" s="3" t="s">
        <v>77</v>
      </c>
      <c r="F25" s="4">
        <v>120000</v>
      </c>
      <c r="G25" s="4">
        <v>10000</v>
      </c>
      <c r="H25" s="3"/>
      <c r="O25" s="2" t="s">
        <v>78</v>
      </c>
    </row>
    <row r="26" spans="5:21" ht="45" x14ac:dyDescent="0.25">
      <c r="E26" s="3" t="s">
        <v>79</v>
      </c>
      <c r="F26" s="4">
        <v>480000</v>
      </c>
      <c r="G26" s="4">
        <v>40000</v>
      </c>
      <c r="H26" s="3"/>
      <c r="O26" s="2" t="s">
        <v>80</v>
      </c>
    </row>
    <row r="27" spans="5:21" ht="30" x14ac:dyDescent="0.25">
      <c r="E27" s="5" t="s">
        <v>81</v>
      </c>
      <c r="F27" s="7">
        <v>840000</v>
      </c>
      <c r="G27" s="7">
        <v>70000</v>
      </c>
      <c r="H27" s="3"/>
      <c r="O27" s="2" t="s">
        <v>82</v>
      </c>
    </row>
    <row r="28" spans="5:21" ht="30" x14ac:dyDescent="0.25">
      <c r="E28" s="5" t="s">
        <v>83</v>
      </c>
      <c r="F28" s="7">
        <v>9093000</v>
      </c>
      <c r="G28" s="7">
        <v>757000</v>
      </c>
      <c r="H28" s="3"/>
      <c r="T28" s="2"/>
    </row>
    <row r="29" spans="5:21" x14ac:dyDescent="0.25">
      <c r="O29" t="s">
        <v>84</v>
      </c>
    </row>
    <row r="31" spans="5:21" x14ac:dyDescent="0.25">
      <c r="O31" t="s">
        <v>85</v>
      </c>
      <c r="T31" t="s">
        <v>86</v>
      </c>
    </row>
    <row r="32" spans="5:21" x14ac:dyDescent="0.25">
      <c r="O32" t="s">
        <v>87</v>
      </c>
      <c r="P32" t="s">
        <v>88</v>
      </c>
      <c r="Q32" t="s">
        <v>89</v>
      </c>
      <c r="R32" t="s">
        <v>90</v>
      </c>
      <c r="S32" t="s">
        <v>91</v>
      </c>
      <c r="T32" t="s">
        <v>92</v>
      </c>
      <c r="U32" t="s">
        <v>93</v>
      </c>
    </row>
    <row r="33" spans="16:21" x14ac:dyDescent="0.25">
      <c r="P33" t="s">
        <v>94</v>
      </c>
      <c r="Q33" t="s">
        <v>95</v>
      </c>
      <c r="R33" t="s">
        <v>96</v>
      </c>
      <c r="S33" t="s">
        <v>97</v>
      </c>
      <c r="T33" t="s">
        <v>98</v>
      </c>
      <c r="U33" t="s">
        <v>99</v>
      </c>
    </row>
    <row r="34" spans="16:21" x14ac:dyDescent="0.25">
      <c r="S34" t="s">
        <v>100</v>
      </c>
    </row>
  </sheetData>
  <pageMargins left="0.7" right="0.7" top="0.75" bottom="0.75" header="0.511811023622047" footer="0.511811023622047"/>
  <pageSetup paperSize="9" orientation="portrait" horizontalDpi="300" verticalDpi="300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Lautaro Faccini</dc:creator>
  <dc:description/>
  <cp:lastModifiedBy>usuario</cp:lastModifiedBy>
  <cp:revision>1</cp:revision>
  <dcterms:created xsi:type="dcterms:W3CDTF">2015-06-05T18:19:34Z</dcterms:created>
  <dcterms:modified xsi:type="dcterms:W3CDTF">2025-11-12T01:56:26Z</dcterms:modified>
  <dc:language>es-AR</dc:language>
</cp:coreProperties>
</file>