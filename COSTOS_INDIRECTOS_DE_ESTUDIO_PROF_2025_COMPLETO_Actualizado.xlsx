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D5DE0135-3C71-4351-8741-349F9E3F67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STOS INDIRECTOS 2025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34" i="1"/>
  <c r="E36" i="1" l="1"/>
  <c r="E33" i="1"/>
  <c r="E30" i="1"/>
  <c r="E31" i="1"/>
  <c r="E29" i="1"/>
  <c r="E27" i="1" l="1"/>
  <c r="E26" i="1"/>
  <c r="E24" i="1"/>
  <c r="E23" i="1"/>
  <c r="E22" i="1"/>
  <c r="E21" i="1"/>
  <c r="E20" i="1"/>
  <c r="D19" i="1"/>
  <c r="E19" i="1" s="1"/>
  <c r="D18" i="1"/>
  <c r="E18" i="1" s="1"/>
  <c r="D17" i="1"/>
  <c r="E17" i="1" s="1"/>
  <c r="D16" i="1"/>
  <c r="E16" i="1" s="1"/>
  <c r="D15" i="1"/>
  <c r="E15" i="1" s="1"/>
  <c r="D13" i="1"/>
  <c r="E13" i="1" s="1"/>
  <c r="D12" i="1"/>
  <c r="E12" i="1" s="1"/>
  <c r="D11" i="1"/>
  <c r="E11" i="1" s="1"/>
  <c r="D10" i="1"/>
  <c r="E10" i="1" s="1"/>
  <c r="D9" i="1"/>
  <c r="E7" i="1"/>
  <c r="E5" i="1"/>
  <c r="E4" i="1"/>
  <c r="E3" i="1"/>
  <c r="E9" i="1" l="1"/>
  <c r="E39" i="1" s="1"/>
  <c r="E40" i="1" s="1"/>
  <c r="E41" i="1" s="1"/>
  <c r="D38" i="1"/>
</calcChain>
</file>

<file path=xl/sharedStrings.xml><?xml version="1.0" encoding="utf-8"?>
<sst xmlns="http://schemas.openxmlformats.org/spreadsheetml/2006/main" count="46" uniqueCount="46">
  <si>
    <t>Detalle</t>
  </si>
  <si>
    <t>Base / Costo de compra (ARS)</t>
  </si>
  <si>
    <t>Vida útil (años)</t>
  </si>
  <si>
    <t>Costo Anual (ARS)</t>
  </si>
  <si>
    <t>Costo Mensual (ARS)</t>
  </si>
  <si>
    <t>1.1 Alquileres (fijo)</t>
  </si>
  <si>
    <t>1.2 Expensas (fijo)</t>
  </si>
  <si>
    <t>1.3 Agua (fijo)</t>
  </si>
  <si>
    <t>1.4 Luz (semifijo)</t>
  </si>
  <si>
    <t>2.- MUEBLES</t>
  </si>
  <si>
    <t>3.- EQUIPAMIENTO</t>
  </si>
  <si>
    <t>3.6 Internet (semifijo)</t>
  </si>
  <si>
    <t>3.8 Licencias de software (fijo)</t>
  </si>
  <si>
    <t>3.9 Antivirus y seguridad (fijo)</t>
  </si>
  <si>
    <t>4.- MATERIALES INDIRECTOS</t>
  </si>
  <si>
    <t>4.1 Útiles - lápices, carpetas, papel, copias, cartuchos (semifijo)</t>
  </si>
  <si>
    <t>TOTALES</t>
  </si>
  <si>
    <t>TOTAL ANUAL:</t>
  </si>
  <si>
    <t>TOTAL MENSUAL:</t>
  </si>
  <si>
    <t xml:space="preserve">1.- LOCAL </t>
  </si>
  <si>
    <t xml:space="preserve">5.- GASTOS PROFESIONALES </t>
  </si>
  <si>
    <t>5.1 Monotributo para el jefe de proyecto</t>
  </si>
  <si>
    <t xml:space="preserve">5.2  seguro de vida y accidentes </t>
  </si>
  <si>
    <t xml:space="preserve">5.3 seguro robo e incendios </t>
  </si>
  <si>
    <t>COSTO FIJO DEL PROYECTO</t>
  </si>
  <si>
    <t>COSTO FIJO DIARIO</t>
  </si>
  <si>
    <t>6.- Mano de obra indirecta</t>
  </si>
  <si>
    <t>6.1 secretaria-4 hs diarias</t>
  </si>
  <si>
    <t>1.5 Impuesto tasas y servicios (fijo)</t>
  </si>
  <si>
    <t>4.2 Papelería e impresiones (semifijo)</t>
  </si>
  <si>
    <t xml:space="preserve">3.5 Servidor VPS </t>
  </si>
  <si>
    <t xml:space="preserve">3.4 NAS </t>
  </si>
  <si>
    <t xml:space="preserve">3.3 Router </t>
  </si>
  <si>
    <t xml:space="preserve">3.2 Módem </t>
  </si>
  <si>
    <t>3.1 PCs (8) + Impresora</t>
  </si>
  <si>
    <t>2.2 Sillas ergonómicas (8 unidades)</t>
  </si>
  <si>
    <t>2.1 Escritorios (8 unidades)</t>
  </si>
  <si>
    <t>7.- Rodado</t>
  </si>
  <si>
    <t>6.2 emp de limpieza (2 veces por semana)</t>
  </si>
  <si>
    <t>7.1 Combustible</t>
  </si>
  <si>
    <t>3.7 Suscripción ChatGpt PLUS</t>
  </si>
  <si>
    <t xml:space="preserve">2.3 Mesa de reunión </t>
  </si>
  <si>
    <t xml:space="preserve">2.4 Percheros </t>
  </si>
  <si>
    <t xml:space="preserve">2.5 Lámparas </t>
  </si>
  <si>
    <t>3.10 Backup en la nube (fijo)</t>
  </si>
  <si>
    <t>(8 empleados)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</si>
</sst>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E2EFDA"/>
        <bgColor rgb="FFE2EFDA"/>
      </patternFill>
    </fill>
    <fill>
      <patternFill patternType="solid">
        <fgColor theme="0"/>
        <bgColor rgb="FFE2EFD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0" borderId="0" xfId="0" applyFont="1" applyAlignment="1">
      <alignment horizontal="right"/>
    </xf>
    <xf numFmtId="44" fontId="1" fillId="0" borderId="0" xfId="1" applyFont="1"/>
    <xf numFmtId="44" fontId="0" fillId="0" borderId="0" xfId="1" applyFont="1"/>
    <xf numFmtId="44" fontId="0" fillId="0" borderId="0" xfId="0" applyNumberFormat="1"/>
    <xf numFmtId="0" fontId="3" fillId="0" borderId="0" xfId="0" applyFont="1" applyAlignment="1">
      <alignment horizontal="right"/>
    </xf>
    <xf numFmtId="44" fontId="0" fillId="0" borderId="1" xfId="1" applyFont="1" applyBorder="1"/>
    <xf numFmtId="0" fontId="4" fillId="4" borderId="1" xfId="0" applyFont="1" applyFill="1" applyBorder="1" applyAlignment="1">
      <alignment horizontal="left"/>
    </xf>
    <xf numFmtId="44" fontId="4" fillId="4" borderId="1" xfId="1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1" xfId="0" applyBorder="1"/>
    <xf numFmtId="44" fontId="1" fillId="3" borderId="1" xfId="1" applyFont="1" applyFill="1" applyBorder="1" applyAlignment="1">
      <alignment horizontal="left"/>
    </xf>
    <xf numFmtId="44" fontId="0" fillId="0" borderId="1" xfId="1" applyFont="1" applyBorder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22" workbookViewId="0">
      <selection activeCell="A35" sqref="A35:E35"/>
    </sheetView>
  </sheetViews>
  <sheetFormatPr baseColWidth="10" defaultColWidth="9.109375" defaultRowHeight="14.4" x14ac:dyDescent="0.3"/>
  <cols>
    <col min="1" max="1" width="64.33203125" customWidth="1"/>
    <col min="2" max="2" width="28" customWidth="1"/>
    <col min="3" max="3" width="25.33203125" customWidth="1"/>
    <col min="4" max="5" width="22" customWidth="1"/>
    <col min="6" max="6" width="13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5" t="s">
        <v>19</v>
      </c>
      <c r="B2" s="16"/>
      <c r="C2" s="16"/>
      <c r="D2" s="16"/>
      <c r="E2" s="16"/>
    </row>
    <row r="3" spans="1:5" x14ac:dyDescent="0.3">
      <c r="A3" s="2" t="s">
        <v>5</v>
      </c>
      <c r="B3" s="3"/>
      <c r="C3" s="2"/>
      <c r="D3" s="3">
        <v>7200000</v>
      </c>
      <c r="E3" s="3">
        <f t="shared" ref="E3:E7" si="0">D3/12</f>
        <v>600000</v>
      </c>
    </row>
    <row r="4" spans="1:5" x14ac:dyDescent="0.3">
      <c r="A4" s="2" t="s">
        <v>6</v>
      </c>
      <c r="B4" s="3"/>
      <c r="C4" s="2"/>
      <c r="D4" s="3">
        <v>1200000</v>
      </c>
      <c r="E4" s="3">
        <f t="shared" si="0"/>
        <v>100000</v>
      </c>
    </row>
    <row r="5" spans="1:5" x14ac:dyDescent="0.3">
      <c r="A5" s="2" t="s">
        <v>7</v>
      </c>
      <c r="B5" s="3"/>
      <c r="C5" s="2"/>
      <c r="D5" s="3">
        <v>360000</v>
      </c>
      <c r="E5" s="3">
        <f t="shared" si="0"/>
        <v>30000</v>
      </c>
    </row>
    <row r="6" spans="1:5" x14ac:dyDescent="0.3">
      <c r="A6" s="2" t="s">
        <v>8</v>
      </c>
      <c r="B6" s="3"/>
      <c r="C6" s="2"/>
      <c r="D6" s="3">
        <v>3600000</v>
      </c>
      <c r="E6" s="3">
        <f>D6/12</f>
        <v>300000</v>
      </c>
    </row>
    <row r="7" spans="1:5" x14ac:dyDescent="0.3">
      <c r="A7" s="2" t="s">
        <v>28</v>
      </c>
      <c r="B7" s="3"/>
      <c r="C7" s="2"/>
      <c r="D7" s="3">
        <v>360000</v>
      </c>
      <c r="E7" s="3">
        <f t="shared" si="0"/>
        <v>30000</v>
      </c>
    </row>
    <row r="8" spans="1:5" x14ac:dyDescent="0.3">
      <c r="A8" s="15" t="s">
        <v>9</v>
      </c>
      <c r="B8" s="16"/>
      <c r="C8" s="16"/>
      <c r="D8" s="16"/>
      <c r="E8" s="16"/>
    </row>
    <row r="9" spans="1:5" x14ac:dyDescent="0.3">
      <c r="A9" s="2" t="s">
        <v>36</v>
      </c>
      <c r="B9" s="3">
        <v>1200000</v>
      </c>
      <c r="C9" s="2">
        <v>10</v>
      </c>
      <c r="D9" s="3">
        <f t="shared" ref="D9:D13" si="1">IF(AND(B9&gt;0,C9&gt;0),B9/C9,0)</f>
        <v>120000</v>
      </c>
      <c r="E9" s="3">
        <f t="shared" ref="E9:E13" si="2">D9/12</f>
        <v>10000</v>
      </c>
    </row>
    <row r="10" spans="1:5" x14ac:dyDescent="0.3">
      <c r="A10" s="2" t="s">
        <v>35</v>
      </c>
      <c r="B10" s="3">
        <v>640000</v>
      </c>
      <c r="C10" s="2">
        <v>10</v>
      </c>
      <c r="D10" s="3">
        <f t="shared" si="1"/>
        <v>64000</v>
      </c>
      <c r="E10" s="3">
        <f t="shared" si="2"/>
        <v>5333.333333333333</v>
      </c>
    </row>
    <row r="11" spans="1:5" x14ac:dyDescent="0.3">
      <c r="A11" s="2" t="s">
        <v>41</v>
      </c>
      <c r="B11" s="3">
        <v>400000</v>
      </c>
      <c r="C11" s="2">
        <v>10</v>
      </c>
      <c r="D11" s="3">
        <f t="shared" si="1"/>
        <v>40000</v>
      </c>
      <c r="E11" s="3">
        <f t="shared" si="2"/>
        <v>3333.3333333333335</v>
      </c>
    </row>
    <row r="12" spans="1:5" x14ac:dyDescent="0.3">
      <c r="A12" s="2" t="s">
        <v>42</v>
      </c>
      <c r="B12" s="3">
        <v>80000</v>
      </c>
      <c r="C12" s="2">
        <v>10</v>
      </c>
      <c r="D12" s="3">
        <f t="shared" si="1"/>
        <v>8000</v>
      </c>
      <c r="E12" s="3">
        <f t="shared" si="2"/>
        <v>666.66666666666663</v>
      </c>
    </row>
    <row r="13" spans="1:5" x14ac:dyDescent="0.3">
      <c r="A13" s="2" t="s">
        <v>43</v>
      </c>
      <c r="B13" s="3">
        <v>120000</v>
      </c>
      <c r="C13" s="2">
        <v>10</v>
      </c>
      <c r="D13" s="3">
        <f t="shared" si="1"/>
        <v>12000</v>
      </c>
      <c r="E13" s="3">
        <f t="shared" si="2"/>
        <v>1000</v>
      </c>
    </row>
    <row r="14" spans="1:5" x14ac:dyDescent="0.3">
      <c r="A14" s="15" t="s">
        <v>10</v>
      </c>
      <c r="B14" s="16"/>
      <c r="C14" s="16"/>
      <c r="D14" s="16"/>
      <c r="E14" s="16"/>
    </row>
    <row r="15" spans="1:5" x14ac:dyDescent="0.3">
      <c r="A15" s="2" t="s">
        <v>34</v>
      </c>
      <c r="B15" s="3">
        <v>6700000</v>
      </c>
      <c r="C15" s="2">
        <v>3</v>
      </c>
      <c r="D15" s="3">
        <f>IF(AND(B15&gt;0,C15&gt;0),B15/C15,0)</f>
        <v>2233333.3333333335</v>
      </c>
      <c r="E15" s="3">
        <f t="shared" ref="E15:E24" si="3">D15/12</f>
        <v>186111.11111111112</v>
      </c>
    </row>
    <row r="16" spans="1:5" x14ac:dyDescent="0.3">
      <c r="A16" s="2" t="s">
        <v>33</v>
      </c>
      <c r="B16" s="3">
        <v>40000</v>
      </c>
      <c r="C16" s="2">
        <v>3</v>
      </c>
      <c r="D16" s="3">
        <f>IF(AND(B16&gt;0,C16&gt;0),B16/C16,0)</f>
        <v>13333.333333333334</v>
      </c>
      <c r="E16" s="3">
        <f t="shared" si="3"/>
        <v>1111.1111111111111</v>
      </c>
    </row>
    <row r="17" spans="1:6" x14ac:dyDescent="0.3">
      <c r="A17" s="2" t="s">
        <v>32</v>
      </c>
      <c r="B17" s="3">
        <v>96000</v>
      </c>
      <c r="C17" s="2">
        <v>3</v>
      </c>
      <c r="D17" s="3">
        <f>IF(AND(B17&gt;0,C17&gt;0),B17/C17,0)</f>
        <v>32000</v>
      </c>
      <c r="E17" s="3">
        <f t="shared" si="3"/>
        <v>2666.6666666666665</v>
      </c>
    </row>
    <row r="18" spans="1:6" x14ac:dyDescent="0.3">
      <c r="A18" s="2" t="s">
        <v>31</v>
      </c>
      <c r="B18" s="3">
        <v>1000000</v>
      </c>
      <c r="C18" s="2">
        <v>5</v>
      </c>
      <c r="D18" s="3">
        <f>IF(AND(B18&gt;0,C18&gt;0),B18/C18,0)</f>
        <v>200000</v>
      </c>
      <c r="E18" s="3">
        <f t="shared" si="3"/>
        <v>16666.666666666668</v>
      </c>
    </row>
    <row r="19" spans="1:6" x14ac:dyDescent="0.3">
      <c r="A19" s="2" t="s">
        <v>30</v>
      </c>
      <c r="B19" s="3">
        <v>450000</v>
      </c>
      <c r="C19" s="2">
        <v>3</v>
      </c>
      <c r="D19" s="3">
        <f>IF(AND(B19&gt;0,C19&gt;0),B19/C19,0)</f>
        <v>150000</v>
      </c>
      <c r="E19" s="3">
        <f t="shared" si="3"/>
        <v>12500</v>
      </c>
    </row>
    <row r="20" spans="1:6" x14ac:dyDescent="0.3">
      <c r="A20" s="2" t="s">
        <v>11</v>
      </c>
      <c r="B20" s="3"/>
      <c r="C20" s="2"/>
      <c r="D20" s="3">
        <v>1200000</v>
      </c>
      <c r="E20" s="3">
        <f t="shared" si="3"/>
        <v>100000</v>
      </c>
    </row>
    <row r="21" spans="1:6" x14ac:dyDescent="0.3">
      <c r="A21" s="2" t="s">
        <v>40</v>
      </c>
      <c r="B21" s="3"/>
      <c r="C21" s="2"/>
      <c r="D21" s="3">
        <v>264000</v>
      </c>
      <c r="E21" s="3">
        <f t="shared" si="3"/>
        <v>22000</v>
      </c>
    </row>
    <row r="22" spans="1:6" x14ac:dyDescent="0.3">
      <c r="A22" s="2" t="s">
        <v>12</v>
      </c>
      <c r="B22" s="3"/>
      <c r="C22" s="2"/>
      <c r="D22" s="3">
        <v>1200000</v>
      </c>
      <c r="E22" s="3">
        <f t="shared" si="3"/>
        <v>100000</v>
      </c>
    </row>
    <row r="23" spans="1:6" x14ac:dyDescent="0.3">
      <c r="A23" s="2" t="s">
        <v>13</v>
      </c>
      <c r="B23" s="3"/>
      <c r="C23" s="2"/>
      <c r="D23" s="3">
        <v>240000</v>
      </c>
      <c r="E23" s="3">
        <f t="shared" si="3"/>
        <v>20000</v>
      </c>
    </row>
    <row r="24" spans="1:6" x14ac:dyDescent="0.3">
      <c r="A24" s="2" t="s">
        <v>44</v>
      </c>
      <c r="B24" s="3"/>
      <c r="C24" s="2"/>
      <c r="D24" s="3">
        <v>300000</v>
      </c>
      <c r="E24" s="3">
        <f t="shared" si="3"/>
        <v>25000</v>
      </c>
    </row>
    <row r="25" spans="1:6" x14ac:dyDescent="0.3">
      <c r="A25" s="15" t="s">
        <v>14</v>
      </c>
      <c r="B25" s="16"/>
      <c r="C25" s="16"/>
      <c r="D25" s="16"/>
      <c r="E25" s="16"/>
    </row>
    <row r="26" spans="1:6" x14ac:dyDescent="0.3">
      <c r="A26" s="2" t="s">
        <v>15</v>
      </c>
      <c r="B26" s="3"/>
      <c r="C26" s="2"/>
      <c r="D26" s="3">
        <v>630000</v>
      </c>
      <c r="E26" s="3">
        <f>D26/12</f>
        <v>52500</v>
      </c>
    </row>
    <row r="27" spans="1:6" x14ac:dyDescent="0.3">
      <c r="A27" s="2" t="s">
        <v>29</v>
      </c>
      <c r="B27" s="3"/>
      <c r="C27" s="2"/>
      <c r="D27" s="3">
        <v>350000</v>
      </c>
      <c r="E27" s="3">
        <f>D27/12</f>
        <v>29166.666666666668</v>
      </c>
    </row>
    <row r="28" spans="1:6" x14ac:dyDescent="0.3">
      <c r="A28" s="15" t="s">
        <v>20</v>
      </c>
      <c r="B28" s="16"/>
      <c r="C28" s="16"/>
      <c r="D28" s="16"/>
      <c r="E28" s="16"/>
    </row>
    <row r="29" spans="1:6" x14ac:dyDescent="0.3">
      <c r="A29" s="2" t="s">
        <v>21</v>
      </c>
      <c r="B29" s="2"/>
      <c r="C29" s="2"/>
      <c r="D29" s="9">
        <v>1355000</v>
      </c>
      <c r="E29" s="9">
        <f>D29/12</f>
        <v>112916.66666666667</v>
      </c>
    </row>
    <row r="30" spans="1:6" x14ac:dyDescent="0.3">
      <c r="A30" s="10" t="s">
        <v>22</v>
      </c>
      <c r="B30" s="9">
        <v>2700</v>
      </c>
      <c r="C30" s="2"/>
      <c r="D30" s="9">
        <v>259200</v>
      </c>
      <c r="E30" s="9">
        <f t="shared" ref="E30:E31" si="4">D30/12</f>
        <v>21600</v>
      </c>
      <c r="F30" t="s">
        <v>45</v>
      </c>
    </row>
    <row r="31" spans="1:6" x14ac:dyDescent="0.3">
      <c r="A31" s="10" t="s">
        <v>23</v>
      </c>
      <c r="B31" s="2"/>
      <c r="C31" s="2"/>
      <c r="D31" s="9">
        <v>120000</v>
      </c>
      <c r="E31" s="9">
        <f t="shared" si="4"/>
        <v>10000</v>
      </c>
    </row>
    <row r="32" spans="1:6" x14ac:dyDescent="0.3">
      <c r="A32" s="15" t="s">
        <v>26</v>
      </c>
      <c r="B32" s="16"/>
      <c r="C32" s="16"/>
      <c r="D32" s="16"/>
      <c r="E32" s="16"/>
    </row>
    <row r="33" spans="1:5" x14ac:dyDescent="0.3">
      <c r="A33" s="11" t="s">
        <v>27</v>
      </c>
      <c r="B33" s="9"/>
      <c r="C33" s="9"/>
      <c r="D33" s="9">
        <v>4000000</v>
      </c>
      <c r="E33" s="9">
        <f>D33/12</f>
        <v>333333.33333333331</v>
      </c>
    </row>
    <row r="34" spans="1:5" x14ac:dyDescent="0.3">
      <c r="A34" s="11" t="s">
        <v>38</v>
      </c>
      <c r="B34" s="9"/>
      <c r="C34" s="9"/>
      <c r="D34" s="9">
        <v>1370000</v>
      </c>
      <c r="E34" s="9">
        <f>D34/12</f>
        <v>114166.66666666667</v>
      </c>
    </row>
    <row r="35" spans="1:5" x14ac:dyDescent="0.3">
      <c r="A35" s="17" t="s">
        <v>37</v>
      </c>
      <c r="B35" s="18"/>
      <c r="C35" s="18"/>
      <c r="D35" s="18"/>
      <c r="E35" s="18"/>
    </row>
    <row r="36" spans="1:5" x14ac:dyDescent="0.3">
      <c r="A36" s="11" t="s">
        <v>39</v>
      </c>
      <c r="B36" s="9"/>
      <c r="C36" s="9"/>
      <c r="D36" s="9">
        <v>2160000</v>
      </c>
      <c r="E36" s="9">
        <f>D36/12</f>
        <v>180000</v>
      </c>
    </row>
    <row r="37" spans="1:5" x14ac:dyDescent="0.3">
      <c r="A37" s="12" t="s">
        <v>16</v>
      </c>
      <c r="B37" s="13"/>
      <c r="C37" s="13"/>
      <c r="D37" s="13"/>
      <c r="E37" s="14"/>
    </row>
    <row r="38" spans="1:5" x14ac:dyDescent="0.3">
      <c r="C38" s="4" t="s">
        <v>17</v>
      </c>
      <c r="D38" s="5">
        <f>SUM(D2:D37)</f>
        <v>29040866.666666668</v>
      </c>
      <c r="E38" s="6"/>
    </row>
    <row r="39" spans="1:5" x14ac:dyDescent="0.3">
      <c r="C39" s="4" t="s">
        <v>18</v>
      </c>
      <c r="D39" s="6"/>
      <c r="E39" s="5">
        <f>SUM(E2:E37)</f>
        <v>2420072.2222222225</v>
      </c>
    </row>
    <row r="40" spans="1:5" x14ac:dyDescent="0.3">
      <c r="C40" s="8" t="s">
        <v>25</v>
      </c>
      <c r="D40" s="6"/>
      <c r="E40" s="6">
        <f>E39/30</f>
        <v>80669.074074074088</v>
      </c>
    </row>
    <row r="41" spans="1:5" x14ac:dyDescent="0.3">
      <c r="C41" s="8" t="s">
        <v>24</v>
      </c>
      <c r="D41">
        <v>42.75</v>
      </c>
      <c r="E41" s="7">
        <f>D41*E40</f>
        <v>3448602.9166666674</v>
      </c>
    </row>
  </sheetData>
  <mergeCells count="8">
    <mergeCell ref="A37:E37"/>
    <mergeCell ref="A32:E32"/>
    <mergeCell ref="A2:E2"/>
    <mergeCell ref="A8:E8"/>
    <mergeCell ref="A14:E14"/>
    <mergeCell ref="A25:E25"/>
    <mergeCell ref="A28:E28"/>
    <mergeCell ref="A35:E3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COSTOS INDIRECTOS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César Emanuel Zaracho</cp:lastModifiedBy>
  <dcterms:created xsi:type="dcterms:W3CDTF">2025-11-11T21:23:23Z</dcterms:created>
  <dcterms:modified xsi:type="dcterms:W3CDTF">2025-11-18T19:14:11Z</dcterms:modified>
</cp:coreProperties>
</file>