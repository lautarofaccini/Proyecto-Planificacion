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8800" windowHeight="12330"/>
  </bookViews>
  <sheets>
    <sheet name="COSTOS INDIRECTOS 2025" sheetId="1" r:id="rId1"/>
  </sheets>
  <calcPr calcId="162913" iterateDelta="1E-4"/>
</workbook>
</file>

<file path=xl/calcChain.xml><?xml version="1.0" encoding="utf-8"?>
<calcChain xmlns="http://schemas.openxmlformats.org/spreadsheetml/2006/main">
  <c r="D36" i="1" l="1"/>
  <c r="E37" i="1"/>
  <c r="E36" i="1"/>
  <c r="E35" i="1"/>
  <c r="E41" i="1" l="1"/>
  <c r="E33" i="1"/>
  <c r="E31" i="1"/>
  <c r="E30" i="1"/>
  <c r="E28" i="1"/>
  <c r="E27" i="1"/>
  <c r="E26" i="1"/>
  <c r="E25" i="1"/>
  <c r="E24" i="1"/>
  <c r="E23" i="1"/>
  <c r="D22" i="1"/>
  <c r="E22" i="1" s="1"/>
  <c r="D21" i="1"/>
  <c r="E21" i="1" s="1"/>
  <c r="D20" i="1"/>
  <c r="E20" i="1" s="1"/>
  <c r="D19" i="1"/>
  <c r="E19" i="1" s="1"/>
  <c r="D18" i="1"/>
  <c r="E18" i="1" s="1"/>
  <c r="D16" i="1"/>
  <c r="E16" i="1" s="1"/>
  <c r="D15" i="1"/>
  <c r="E15" i="1" s="1"/>
  <c r="D14" i="1"/>
  <c r="E14" i="1" s="1"/>
  <c r="D13" i="1"/>
  <c r="E13" i="1" s="1"/>
  <c r="D12" i="1"/>
  <c r="E12" i="1" s="1"/>
  <c r="D11" i="1"/>
  <c r="E11" i="1" s="1"/>
  <c r="D10" i="1"/>
  <c r="E10" i="1" s="1"/>
  <c r="E8" i="1"/>
  <c r="E7" i="1"/>
  <c r="E6" i="1"/>
  <c r="E5" i="1"/>
  <c r="E4" i="1"/>
  <c r="E3" i="1"/>
  <c r="D43" i="1" l="1"/>
  <c r="E44" i="1"/>
  <c r="E45" i="1" s="1"/>
  <c r="E46" i="1" s="1"/>
</calcChain>
</file>

<file path=xl/sharedStrings.xml><?xml version="1.0" encoding="utf-8"?>
<sst xmlns="http://schemas.openxmlformats.org/spreadsheetml/2006/main" count="76" uniqueCount="61">
  <si>
    <t>Detalle</t>
  </si>
  <si>
    <t>Base / Costo de compra (ARS)</t>
  </si>
  <si>
    <t>Vida útil (años)</t>
  </si>
  <si>
    <t>Costo Anual (ARS)</t>
  </si>
  <si>
    <t>Costo Mensual (ARS)</t>
  </si>
  <si>
    <t>1.1 Alquileres (fijo)</t>
  </si>
  <si>
    <t>1.2 Expensas (fijo)</t>
  </si>
  <si>
    <t>1.3 Agua (fijo)</t>
  </si>
  <si>
    <t>1.4 Luz (semifijo)</t>
  </si>
  <si>
    <t>1.8 Impuesto tasas y servicios (fijo)</t>
  </si>
  <si>
    <t>2.- MUEBLES</t>
  </si>
  <si>
    <t>2.1 Escritorios (8 unidades) /10 años</t>
  </si>
  <si>
    <t>2.2 Sillas ergonómicas (8 unidades) /10 años</t>
  </si>
  <si>
    <t>2.4 Sillón /10 años</t>
  </si>
  <si>
    <t>2.5 Mesa de reunión /10 años</t>
  </si>
  <si>
    <t>2.7 Armarios /10 años</t>
  </si>
  <si>
    <t>2.8 Percheros /10 años</t>
  </si>
  <si>
    <t>2.9 Lámparas /10 años</t>
  </si>
  <si>
    <t>3.- EQUIPAMIENTO</t>
  </si>
  <si>
    <t>3.1 PCs (8) + Impresora /3 años</t>
  </si>
  <si>
    <t>3.2 Módem /3 años</t>
  </si>
  <si>
    <t>3.3 Router /3 años</t>
  </si>
  <si>
    <t>3.4 NAS /5 años</t>
  </si>
  <si>
    <t>3.5 Servidor VPS /3 años</t>
  </si>
  <si>
    <t>3.6 Internet (semifijo)</t>
  </si>
  <si>
    <t>3.7 Suscripción Técnica (fijo)</t>
  </si>
  <si>
    <t>3.8 Licencias de software (fijo)</t>
  </si>
  <si>
    <t>3.9 Antivirus y seguridad (fijo)</t>
  </si>
  <si>
    <t>3.10 Dominio y hosting web (fijo)</t>
  </si>
  <si>
    <t>3.11 Backup en la nube (fijo)</t>
  </si>
  <si>
    <t>4.- MATERIALES INDIRECTOS</t>
  </si>
  <si>
    <t>4.1 Útiles - lápices, carpetas, papel, copias, cartuchos (semifijo)</t>
  </si>
  <si>
    <t>4.2 Snacks, agua, café (semifijo)</t>
  </si>
  <si>
    <t>4.3 Capacitación y formación (fijo)</t>
  </si>
  <si>
    <t>TOTALES</t>
  </si>
  <si>
    <t>TOTAL ANUAL:</t>
  </si>
  <si>
    <t>TOTAL MENSUAL:</t>
  </si>
  <si>
    <t>creo que ok</t>
  </si>
  <si>
    <t>me mataste x2</t>
  </si>
  <si>
    <t>monotributo para el jefe de proyecto</t>
  </si>
  <si>
    <t>seguro de vida para cada uno</t>
  </si>
  <si>
    <t>20 al mes son pocas facturas, no se si tendriamos que tener esto kajskdjasd</t>
  </si>
  <si>
    <t>seguro para incendio o robo</t>
  </si>
  <si>
    <t>esto tenemos que calcular con el excel de la profe me parece</t>
  </si>
  <si>
    <t>idem arriba</t>
  </si>
  <si>
    <t xml:space="preserve">GASTOS PRFEsIONALeS </t>
  </si>
  <si>
    <t>ok</t>
  </si>
  <si>
    <t>?</t>
  </si>
  <si>
    <t>ok pero a revosar precio capaz</t>
  </si>
  <si>
    <t xml:space="preserve">ok </t>
  </si>
  <si>
    <t xml:space="preserve">1.- LOCAL </t>
  </si>
  <si>
    <t xml:space="preserve">5.- GASTOS PROFESIONALES </t>
  </si>
  <si>
    <t>5.1 Monotributo para el jefe de proyecto</t>
  </si>
  <si>
    <t xml:space="preserve">5.2  seguro de vida y accidentes </t>
  </si>
  <si>
    <t xml:space="preserve">5.3 seguro robo e incendios </t>
  </si>
  <si>
    <t>4.3 Papelería e impresiones (semifijo)</t>
  </si>
  <si>
    <t>COSTO FIJO DEL PROYECTO</t>
  </si>
  <si>
    <t>COSTO FIJO DIARIO</t>
  </si>
  <si>
    <t>1.11 Pava eléctrica (fijo)</t>
  </si>
  <si>
    <t>6.- Mano de obra indirecta</t>
  </si>
  <si>
    <t>6.1 secretaria-4 hs diarias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</si>
</sst>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\ * #,##0.00_-;\-&quot;$&quot;\ * #,##0.00_-;_-&quot;$&quot;\ * &quot;-&quot;??_-;_-@_-"/>
    <numFmt numFmtId="164" formatCode="&quot;$&quot;\ 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E2EFDA"/>
        <bgColor rgb="FFE2EFDA"/>
      </patternFill>
    </fill>
    <fill>
      <patternFill patternType="solid">
        <fgColor theme="0"/>
        <bgColor rgb="FFE2EFDA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1" fillId="0" borderId="0" xfId="0" applyFont="1" applyAlignment="1">
      <alignment horizontal="right"/>
    </xf>
    <xf numFmtId="0" fontId="1" fillId="4" borderId="1" xfId="0" applyFont="1" applyFill="1" applyBorder="1" applyAlignment="1">
      <alignment horizontal="left"/>
    </xf>
    <xf numFmtId="44" fontId="1" fillId="0" borderId="0" xfId="1" applyFont="1"/>
    <xf numFmtId="44" fontId="0" fillId="0" borderId="0" xfId="1" applyFont="1"/>
    <xf numFmtId="44" fontId="0" fillId="0" borderId="0" xfId="0" applyNumberFormat="1"/>
    <xf numFmtId="0" fontId="3" fillId="0" borderId="0" xfId="0" applyFont="1" applyAlignment="1">
      <alignment horizontal="right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0" borderId="1" xfId="0" applyBorder="1"/>
    <xf numFmtId="44" fontId="0" fillId="0" borderId="1" xfId="1" applyFont="1" applyBorder="1"/>
    <xf numFmtId="44" fontId="0" fillId="0" borderId="1" xfId="1" applyNumberFormat="1" applyFont="1" applyBorder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topLeftCell="A7" workbookViewId="0">
      <selection activeCell="D40" sqref="D40"/>
    </sheetView>
  </sheetViews>
  <sheetFormatPr baseColWidth="10" defaultColWidth="9.140625" defaultRowHeight="15" x14ac:dyDescent="0.25"/>
  <cols>
    <col min="1" max="1" width="64.28515625" customWidth="1"/>
    <col min="2" max="2" width="28" customWidth="1"/>
    <col min="3" max="3" width="25.28515625" customWidth="1"/>
    <col min="4" max="5" width="2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25">
      <c r="A2" s="13" t="s">
        <v>50</v>
      </c>
      <c r="B2" s="14"/>
      <c r="C2" s="14"/>
      <c r="D2" s="14"/>
      <c r="E2" s="14"/>
    </row>
    <row r="3" spans="1:6" x14ac:dyDescent="0.25">
      <c r="A3" s="2" t="s">
        <v>5</v>
      </c>
      <c r="B3" s="3"/>
      <c r="C3" s="2"/>
      <c r="D3" s="3">
        <v>7200000</v>
      </c>
      <c r="E3" s="3">
        <f t="shared" ref="E3:E8" si="0">D3/12</f>
        <v>600000</v>
      </c>
    </row>
    <row r="4" spans="1:6" x14ac:dyDescent="0.25">
      <c r="A4" s="2" t="s">
        <v>6</v>
      </c>
      <c r="B4" s="3"/>
      <c r="C4" s="2"/>
      <c r="D4" s="3">
        <v>1200000</v>
      </c>
      <c r="E4" s="3">
        <f t="shared" si="0"/>
        <v>100000</v>
      </c>
    </row>
    <row r="5" spans="1:6" x14ac:dyDescent="0.25">
      <c r="A5" s="2" t="s">
        <v>7</v>
      </c>
      <c r="B5" s="3"/>
      <c r="C5" s="2"/>
      <c r="D5" s="3">
        <v>360000</v>
      </c>
      <c r="E5" s="3">
        <f t="shared" si="0"/>
        <v>30000</v>
      </c>
    </row>
    <row r="6" spans="1:6" x14ac:dyDescent="0.25">
      <c r="A6" s="2" t="s">
        <v>8</v>
      </c>
      <c r="B6" s="3"/>
      <c r="C6" s="2"/>
      <c r="D6" s="3">
        <v>960000</v>
      </c>
      <c r="E6" s="3">
        <f t="shared" si="0"/>
        <v>80000</v>
      </c>
      <c r="F6" t="s">
        <v>37</v>
      </c>
    </row>
    <row r="7" spans="1:6" x14ac:dyDescent="0.25">
      <c r="A7" s="2" t="s">
        <v>9</v>
      </c>
      <c r="B7" s="3"/>
      <c r="C7" s="2"/>
      <c r="D7" s="3">
        <v>25200</v>
      </c>
      <c r="E7" s="3">
        <f t="shared" si="0"/>
        <v>2100</v>
      </c>
      <c r="F7" t="s">
        <v>38</v>
      </c>
    </row>
    <row r="8" spans="1:6" x14ac:dyDescent="0.25">
      <c r="A8" s="2" t="s">
        <v>58</v>
      </c>
      <c r="B8" s="3"/>
      <c r="C8" s="2"/>
      <c r="D8" s="3">
        <v>240000</v>
      </c>
      <c r="E8" s="3">
        <f t="shared" si="0"/>
        <v>20000</v>
      </c>
      <c r="F8" t="s">
        <v>41</v>
      </c>
    </row>
    <row r="9" spans="1:6" x14ac:dyDescent="0.25">
      <c r="A9" s="13" t="s">
        <v>10</v>
      </c>
      <c r="B9" s="14"/>
      <c r="C9" s="14"/>
      <c r="D9" s="14"/>
      <c r="E9" s="14"/>
    </row>
    <row r="10" spans="1:6" x14ac:dyDescent="0.25">
      <c r="A10" s="2" t="s">
        <v>11</v>
      </c>
      <c r="B10" s="3">
        <v>1200000</v>
      </c>
      <c r="C10" s="2">
        <v>10</v>
      </c>
      <c r="D10" s="3">
        <f t="shared" ref="D10:D16" si="1">IF(AND(B10&gt;0,C10&gt;0),B10/C10,0)</f>
        <v>120000</v>
      </c>
      <c r="E10" s="3">
        <f t="shared" ref="E10:E16" si="2">D10/12</f>
        <v>10000</v>
      </c>
      <c r="F10" t="s">
        <v>43</v>
      </c>
    </row>
    <row r="11" spans="1:6" x14ac:dyDescent="0.25">
      <c r="A11" s="2" t="s">
        <v>12</v>
      </c>
      <c r="B11" s="3">
        <v>640000</v>
      </c>
      <c r="C11" s="2">
        <v>10</v>
      </c>
      <c r="D11" s="3">
        <f t="shared" si="1"/>
        <v>64000</v>
      </c>
      <c r="E11" s="3">
        <f t="shared" si="2"/>
        <v>5333.333333333333</v>
      </c>
      <c r="F11" t="s">
        <v>44</v>
      </c>
    </row>
    <row r="12" spans="1:6" x14ac:dyDescent="0.25">
      <c r="A12" s="2" t="s">
        <v>13</v>
      </c>
      <c r="B12" s="3">
        <v>200000</v>
      </c>
      <c r="C12" s="2">
        <v>10</v>
      </c>
      <c r="D12" s="3">
        <f t="shared" si="1"/>
        <v>20000</v>
      </c>
      <c r="E12" s="3">
        <f t="shared" si="2"/>
        <v>1666.6666666666667</v>
      </c>
      <c r="F12" t="s">
        <v>46</v>
      </c>
    </row>
    <row r="13" spans="1:6" x14ac:dyDescent="0.25">
      <c r="A13" s="2" t="s">
        <v>14</v>
      </c>
      <c r="B13" s="3">
        <v>400000</v>
      </c>
      <c r="C13" s="2">
        <v>10</v>
      </c>
      <c r="D13" s="3">
        <f t="shared" si="1"/>
        <v>40000</v>
      </c>
      <c r="E13" s="3">
        <f t="shared" si="2"/>
        <v>3333.3333333333335</v>
      </c>
      <c r="F13" t="s">
        <v>46</v>
      </c>
    </row>
    <row r="14" spans="1:6" x14ac:dyDescent="0.25">
      <c r="A14" s="2" t="s">
        <v>15</v>
      </c>
      <c r="B14" s="3">
        <v>250000</v>
      </c>
      <c r="C14" s="2">
        <v>10</v>
      </c>
      <c r="D14" s="3">
        <f t="shared" si="1"/>
        <v>25000</v>
      </c>
      <c r="E14" s="3">
        <f t="shared" si="2"/>
        <v>2083.3333333333335</v>
      </c>
      <c r="F14" t="s">
        <v>46</v>
      </c>
    </row>
    <row r="15" spans="1:6" x14ac:dyDescent="0.25">
      <c r="A15" s="2" t="s">
        <v>16</v>
      </c>
      <c r="B15" s="3">
        <v>80000</v>
      </c>
      <c r="C15" s="2">
        <v>10</v>
      </c>
      <c r="D15" s="3">
        <f t="shared" si="1"/>
        <v>8000</v>
      </c>
      <c r="E15" s="3">
        <f t="shared" si="2"/>
        <v>666.66666666666663</v>
      </c>
      <c r="F15" t="s">
        <v>46</v>
      </c>
    </row>
    <row r="16" spans="1:6" x14ac:dyDescent="0.25">
      <c r="A16" s="2" t="s">
        <v>17</v>
      </c>
      <c r="B16" s="3">
        <v>120000</v>
      </c>
      <c r="C16" s="2">
        <v>10</v>
      </c>
      <c r="D16" s="3">
        <f t="shared" si="1"/>
        <v>12000</v>
      </c>
      <c r="E16" s="3">
        <f t="shared" si="2"/>
        <v>1000</v>
      </c>
      <c r="F16" t="s">
        <v>46</v>
      </c>
    </row>
    <row r="17" spans="1:6" x14ac:dyDescent="0.25">
      <c r="A17" s="13" t="s">
        <v>18</v>
      </c>
      <c r="B17" s="14"/>
      <c r="C17" s="14"/>
      <c r="D17" s="14"/>
      <c r="E17" s="14"/>
    </row>
    <row r="18" spans="1:6" x14ac:dyDescent="0.25">
      <c r="A18" s="2" t="s">
        <v>19</v>
      </c>
      <c r="B18" s="3">
        <v>6700000</v>
      </c>
      <c r="C18" s="2">
        <v>3</v>
      </c>
      <c r="D18" s="3">
        <f>IF(AND(B18&gt;0,C18&gt;0),B18/C18,0)</f>
        <v>2233333.3333333335</v>
      </c>
      <c r="E18" s="3">
        <f t="shared" ref="E18:E28" si="3">D18/12</f>
        <v>186111.11111111112</v>
      </c>
      <c r="F18" t="s">
        <v>48</v>
      </c>
    </row>
    <row r="19" spans="1:6" x14ac:dyDescent="0.25">
      <c r="A19" s="2" t="s">
        <v>20</v>
      </c>
      <c r="B19" s="3">
        <v>40000</v>
      </c>
      <c r="C19" s="2">
        <v>3</v>
      </c>
      <c r="D19" s="3">
        <f>IF(AND(B19&gt;0,C19&gt;0),B19/C19,0)</f>
        <v>13333.333333333334</v>
      </c>
      <c r="E19" s="3">
        <f t="shared" si="3"/>
        <v>1111.1111111111111</v>
      </c>
      <c r="F19" t="s">
        <v>48</v>
      </c>
    </row>
    <row r="20" spans="1:6" x14ac:dyDescent="0.25">
      <c r="A20" s="2" t="s">
        <v>21</v>
      </c>
      <c r="B20" s="3">
        <v>96000</v>
      </c>
      <c r="C20" s="2">
        <v>3</v>
      </c>
      <c r="D20" s="3">
        <f>IF(AND(B20&gt;0,C20&gt;0),B20/C20,0)</f>
        <v>32000</v>
      </c>
      <c r="E20" s="3">
        <f t="shared" si="3"/>
        <v>2666.6666666666665</v>
      </c>
      <c r="F20" t="s">
        <v>49</v>
      </c>
    </row>
    <row r="21" spans="1:6" x14ac:dyDescent="0.25">
      <c r="A21" s="2" t="s">
        <v>22</v>
      </c>
      <c r="B21" s="3">
        <v>300000</v>
      </c>
      <c r="C21" s="2">
        <v>5</v>
      </c>
      <c r="D21" s="3">
        <f>IF(AND(B21&gt;0,C21&gt;0),B21/C21,0)</f>
        <v>60000</v>
      </c>
      <c r="E21" s="3">
        <f t="shared" si="3"/>
        <v>5000</v>
      </c>
      <c r="F21" t="s">
        <v>46</v>
      </c>
    </row>
    <row r="22" spans="1:6" x14ac:dyDescent="0.25">
      <c r="A22" s="2" t="s">
        <v>23</v>
      </c>
      <c r="B22" s="3">
        <v>450000</v>
      </c>
      <c r="C22" s="2">
        <v>3</v>
      </c>
      <c r="D22" s="3">
        <f>IF(AND(B22&gt;0,C22&gt;0),B22/C22,0)</f>
        <v>150000</v>
      </c>
      <c r="E22" s="3">
        <f t="shared" si="3"/>
        <v>12500</v>
      </c>
      <c r="F22" t="s">
        <v>46</v>
      </c>
    </row>
    <row r="23" spans="1:6" x14ac:dyDescent="0.25">
      <c r="A23" s="2" t="s">
        <v>24</v>
      </c>
      <c r="B23" s="3"/>
      <c r="C23" s="2"/>
      <c r="D23" s="3">
        <v>1200000</v>
      </c>
      <c r="E23" s="3">
        <f t="shared" si="3"/>
        <v>100000</v>
      </c>
      <c r="F23" t="s">
        <v>46</v>
      </c>
    </row>
    <row r="24" spans="1:6" x14ac:dyDescent="0.25">
      <c r="A24" s="2" t="s">
        <v>25</v>
      </c>
      <c r="B24" s="3"/>
      <c r="C24" s="2"/>
      <c r="D24" s="3">
        <v>480000</v>
      </c>
      <c r="E24" s="3">
        <f t="shared" si="3"/>
        <v>40000</v>
      </c>
      <c r="F24" t="s">
        <v>47</v>
      </c>
    </row>
    <row r="25" spans="1:6" x14ac:dyDescent="0.25">
      <c r="A25" s="2" t="s">
        <v>26</v>
      </c>
      <c r="B25" s="3"/>
      <c r="C25" s="2"/>
      <c r="D25" s="3">
        <v>1200000</v>
      </c>
      <c r="E25" s="3">
        <f t="shared" si="3"/>
        <v>100000</v>
      </c>
      <c r="F25" t="s">
        <v>46</v>
      </c>
    </row>
    <row r="26" spans="1:6" x14ac:dyDescent="0.25">
      <c r="A26" s="2" t="s">
        <v>27</v>
      </c>
      <c r="B26" s="3"/>
      <c r="C26" s="2"/>
      <c r="D26" s="3">
        <v>240000</v>
      </c>
      <c r="E26" s="3">
        <f t="shared" si="3"/>
        <v>20000</v>
      </c>
      <c r="F26" t="s">
        <v>46</v>
      </c>
    </row>
    <row r="27" spans="1:6" x14ac:dyDescent="0.25">
      <c r="A27" s="2" t="s">
        <v>28</v>
      </c>
      <c r="B27" s="3"/>
      <c r="C27" s="2"/>
      <c r="D27" s="3">
        <v>180000</v>
      </c>
      <c r="E27" s="3">
        <f t="shared" si="3"/>
        <v>15000</v>
      </c>
      <c r="F27" t="s">
        <v>47</v>
      </c>
    </row>
    <row r="28" spans="1:6" x14ac:dyDescent="0.25">
      <c r="A28" s="2" t="s">
        <v>29</v>
      </c>
      <c r="B28" s="3"/>
      <c r="C28" s="2"/>
      <c r="D28" s="3">
        <v>300000</v>
      </c>
      <c r="E28" s="3">
        <f t="shared" si="3"/>
        <v>25000</v>
      </c>
      <c r="F28" t="s">
        <v>46</v>
      </c>
    </row>
    <row r="29" spans="1:6" x14ac:dyDescent="0.25">
      <c r="A29" s="13" t="s">
        <v>30</v>
      </c>
      <c r="B29" s="14"/>
      <c r="C29" s="14"/>
      <c r="D29" s="14"/>
      <c r="E29" s="14"/>
    </row>
    <row r="30" spans="1:6" x14ac:dyDescent="0.25">
      <c r="A30" s="2" t="s">
        <v>31</v>
      </c>
      <c r="B30" s="3"/>
      <c r="C30" s="2"/>
      <c r="D30" s="3">
        <v>600000</v>
      </c>
      <c r="E30" s="3">
        <f>D30/12</f>
        <v>50000</v>
      </c>
      <c r="F30" t="s">
        <v>46</v>
      </c>
    </row>
    <row r="31" spans="1:6" x14ac:dyDescent="0.25">
      <c r="A31" s="2" t="s">
        <v>32</v>
      </c>
      <c r="B31" s="3"/>
      <c r="C31" s="2"/>
      <c r="D31" s="3">
        <v>180000</v>
      </c>
      <c r="E31" s="3">
        <f>D31/12</f>
        <v>15000</v>
      </c>
      <c r="F31" t="s">
        <v>46</v>
      </c>
    </row>
    <row r="32" spans="1:6" x14ac:dyDescent="0.25">
      <c r="A32" s="2"/>
      <c r="B32" s="3"/>
      <c r="C32" s="2"/>
      <c r="D32" s="3"/>
      <c r="E32" s="3"/>
    </row>
    <row r="33" spans="1:6" x14ac:dyDescent="0.25">
      <c r="A33" s="2" t="s">
        <v>55</v>
      </c>
      <c r="B33" s="3"/>
      <c r="C33" s="2"/>
      <c r="D33" s="3">
        <v>240000</v>
      </c>
      <c r="E33" s="3">
        <f>D33/12</f>
        <v>20000</v>
      </c>
      <c r="F33" t="s">
        <v>46</v>
      </c>
    </row>
    <row r="34" spans="1:6" x14ac:dyDescent="0.25">
      <c r="A34" s="13" t="s">
        <v>51</v>
      </c>
      <c r="B34" s="14"/>
      <c r="C34" s="14"/>
      <c r="D34" s="14"/>
      <c r="E34" s="14"/>
    </row>
    <row r="35" spans="1:6" x14ac:dyDescent="0.25">
      <c r="A35" s="2" t="s">
        <v>52</v>
      </c>
      <c r="B35" s="2"/>
      <c r="C35" s="2"/>
      <c r="D35" s="15">
        <v>440000</v>
      </c>
      <c r="E35" s="16">
        <f>D35/12</f>
        <v>36666.666666666664</v>
      </c>
    </row>
    <row r="36" spans="1:6" x14ac:dyDescent="0.25">
      <c r="A36" s="5" t="s">
        <v>53</v>
      </c>
      <c r="B36" s="2">
        <v>300</v>
      </c>
      <c r="C36" s="2"/>
      <c r="D36" s="15">
        <f>(B36*8)*12</f>
        <v>28800</v>
      </c>
      <c r="E36" s="16">
        <f t="shared" ref="E36:E37" si="4">D36/12</f>
        <v>2400</v>
      </c>
    </row>
    <row r="37" spans="1:6" x14ac:dyDescent="0.25">
      <c r="A37" s="5" t="s">
        <v>54</v>
      </c>
      <c r="B37" s="2"/>
      <c r="C37" s="2"/>
      <c r="D37" s="15">
        <v>120000</v>
      </c>
      <c r="E37" s="16">
        <f t="shared" si="4"/>
        <v>10000</v>
      </c>
    </row>
    <row r="38" spans="1:6" x14ac:dyDescent="0.25">
      <c r="A38" s="13" t="s">
        <v>59</v>
      </c>
      <c r="B38" s="14"/>
      <c r="C38" s="14"/>
      <c r="D38" s="14"/>
      <c r="E38" s="14"/>
    </row>
    <row r="39" spans="1:6" x14ac:dyDescent="0.25">
      <c r="A39" s="5" t="s">
        <v>60</v>
      </c>
      <c r="B39" s="2"/>
      <c r="C39" s="2"/>
      <c r="D39" s="2">
        <v>3840000</v>
      </c>
      <c r="E39" s="2"/>
    </row>
    <row r="40" spans="1:6" x14ac:dyDescent="0.25">
      <c r="A40" s="5"/>
      <c r="B40" s="2"/>
      <c r="C40" s="2"/>
      <c r="D40" s="2"/>
      <c r="E40" s="2"/>
    </row>
    <row r="41" spans="1:6" x14ac:dyDescent="0.25">
      <c r="A41" s="2" t="s">
        <v>33</v>
      </c>
      <c r="B41" s="3"/>
      <c r="C41" s="2"/>
      <c r="D41" s="3">
        <v>600000</v>
      </c>
      <c r="E41" s="3">
        <f>D41/12</f>
        <v>50000</v>
      </c>
    </row>
    <row r="42" spans="1:6" x14ac:dyDescent="0.25">
      <c r="A42" s="10" t="s">
        <v>34</v>
      </c>
      <c r="B42" s="11"/>
      <c r="C42" s="11"/>
      <c r="D42" s="11"/>
      <c r="E42" s="12"/>
    </row>
    <row r="43" spans="1:6" x14ac:dyDescent="0.25">
      <c r="C43" s="4" t="s">
        <v>35</v>
      </c>
      <c r="D43" s="6">
        <f>SUM(D2:D42)</f>
        <v>22411666.666666668</v>
      </c>
      <c r="E43" s="7"/>
    </row>
    <row r="44" spans="1:6" x14ac:dyDescent="0.25">
      <c r="C44" s="4" t="s">
        <v>36</v>
      </c>
      <c r="D44" s="7"/>
      <c r="E44" s="6">
        <f>SUM(E2:E42)</f>
        <v>1547638.888888889</v>
      </c>
    </row>
    <row r="45" spans="1:6" x14ac:dyDescent="0.25">
      <c r="C45" s="9" t="s">
        <v>57</v>
      </c>
      <c r="D45" s="7"/>
      <c r="E45" s="7">
        <f>E44/30</f>
        <v>51587.962962962964</v>
      </c>
    </row>
    <row r="46" spans="1:6" x14ac:dyDescent="0.25">
      <c r="C46" s="9" t="s">
        <v>56</v>
      </c>
      <c r="D46">
        <v>46.25</v>
      </c>
      <c r="E46" s="8">
        <f>D46*E45</f>
        <v>2385943.2870370368</v>
      </c>
    </row>
    <row r="48" spans="1:6" x14ac:dyDescent="0.25">
      <c r="A48" t="s">
        <v>45</v>
      </c>
    </row>
    <row r="49" spans="1:1" x14ac:dyDescent="0.25">
      <c r="A49" t="s">
        <v>39</v>
      </c>
    </row>
    <row r="50" spans="1:1" x14ac:dyDescent="0.25">
      <c r="A50" t="s">
        <v>40</v>
      </c>
    </row>
    <row r="51" spans="1:1" x14ac:dyDescent="0.25">
      <c r="A51" t="s">
        <v>42</v>
      </c>
    </row>
  </sheetData>
  <mergeCells count="7">
    <mergeCell ref="A42:E42"/>
    <mergeCell ref="A38:E38"/>
    <mergeCell ref="A2:E2"/>
    <mergeCell ref="A9:E9"/>
    <mergeCell ref="A17:E17"/>
    <mergeCell ref="A29:E29"/>
    <mergeCell ref="A34:E3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COSTOS INDIRECTOS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2025-11-11T21:23:23Z</dcterms:created>
  <dcterms:modified xsi:type="dcterms:W3CDTF">2025-11-12T01:56:06Z</dcterms:modified>
</cp:coreProperties>
</file>